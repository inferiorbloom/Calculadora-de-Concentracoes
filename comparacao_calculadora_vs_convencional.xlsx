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8mar\AppData\Local\Claude-Data\claude_pzs8sxrjxfjjc\scratch-workspaces\e0f12ecd-12c8-4445-8dfc-bec2706d8112\874f4e8b-ba08-4460-b71b-694fedddde5c\scratch-2026-10-22-a30578\"/>
    </mc:Choice>
  </mc:AlternateContent>
  <xr:revisionPtr revIDLastSave="0" documentId="13_ncr:1_{97442909-8ED1-4A17-9199-87D6F80F76B7}" xr6:coauthVersionLast="47" xr6:coauthVersionMax="47" xr10:uidLastSave="{00000000-0000-0000-0000-000000000000}"/>
  <bookViews>
    <workbookView xWindow="0" yWindow="0" windowWidth="20175" windowHeight="15480" xr2:uid="{00000000-000D-0000-FFFF-FFFF00000000}"/>
  </bookViews>
  <sheets>
    <sheet name="Leia-me" sheetId="1" r:id="rId1"/>
    <sheet name="Razão AgV" sheetId="2" r:id="rId2"/>
    <sheet name="Razão AuV" sheetId="3" r:id="rId3"/>
    <sheet name="Razão RhV" sheetId="4" r:id="rId4"/>
    <sheet name="Calc_AgV" sheetId="5" r:id="rId5"/>
    <sheet name="Manual_AgV" sheetId="6" r:id="rId6"/>
    <sheet name="Calc_AuV" sheetId="7" r:id="rId7"/>
    <sheet name="Manual_AuV" sheetId="8" r:id="rId8"/>
    <sheet name="Calc_RhV" sheetId="9" r:id="rId9"/>
    <sheet name="Manual_Rh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4" l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W5" i="4"/>
  <c r="U5" i="4"/>
  <c r="S5" i="4"/>
  <c r="Q5" i="4"/>
  <c r="O5" i="4"/>
  <c r="M5" i="4"/>
  <c r="K5" i="4"/>
  <c r="I5" i="4"/>
  <c r="G5" i="4"/>
  <c r="E5" i="4"/>
  <c r="C5" i="4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W5" i="3"/>
  <c r="U5" i="3"/>
  <c r="S5" i="3"/>
  <c r="Q5" i="3"/>
  <c r="O5" i="3"/>
  <c r="M5" i="3"/>
  <c r="K5" i="3"/>
  <c r="I5" i="3"/>
  <c r="G5" i="3"/>
  <c r="E5" i="3"/>
  <c r="C5" i="3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Y5" i="2"/>
  <c r="W5" i="2"/>
  <c r="U5" i="2"/>
  <c r="S5" i="2"/>
  <c r="Q5" i="2"/>
  <c r="O5" i="2"/>
  <c r="M5" i="2"/>
  <c r="K5" i="2"/>
  <c r="I5" i="2"/>
  <c r="G5" i="2"/>
  <c r="E5" i="2"/>
  <c r="C5" i="2"/>
  <c r="D18" i="4" l="1"/>
  <c r="E18" i="4"/>
  <c r="C18" i="4"/>
  <c r="T21" i="2"/>
  <c r="N18" i="3"/>
  <c r="M18" i="3"/>
  <c r="L18" i="3"/>
  <c r="U21" i="2"/>
  <c r="Q21" i="2"/>
  <c r="O21" i="2"/>
  <c r="S21" i="2"/>
  <c r="P21" i="2"/>
  <c r="N21" i="2"/>
  <c r="R21" i="2"/>
  <c r="M21" i="2"/>
  <c r="L21" i="2"/>
  <c r="K21" i="2"/>
  <c r="J21" i="2"/>
  <c r="I21" i="2"/>
  <c r="H21" i="2"/>
  <c r="G21" i="2"/>
  <c r="Z21" i="2"/>
  <c r="Y21" i="2"/>
  <c r="X21" i="2"/>
  <c r="W21" i="2"/>
  <c r="V21" i="2"/>
  <c r="X21" i="4"/>
  <c r="X18" i="4"/>
  <c r="X19" i="4"/>
  <c r="X20" i="4"/>
  <c r="W21" i="4"/>
  <c r="W20" i="4"/>
  <c r="W19" i="4"/>
  <c r="W18" i="4"/>
  <c r="V21" i="4"/>
  <c r="V20" i="4"/>
  <c r="V18" i="4"/>
  <c r="V19" i="4"/>
  <c r="U21" i="4"/>
  <c r="U20" i="4"/>
  <c r="U19" i="4"/>
  <c r="U18" i="4"/>
  <c r="T21" i="4"/>
  <c r="T20" i="4"/>
  <c r="T19" i="4"/>
  <c r="T18" i="4"/>
  <c r="S21" i="4"/>
  <c r="S19" i="4"/>
  <c r="S20" i="4"/>
  <c r="S18" i="4"/>
  <c r="R21" i="4"/>
  <c r="R20" i="4"/>
  <c r="R19" i="4"/>
  <c r="R18" i="4"/>
  <c r="Q20" i="4"/>
  <c r="Q18" i="4"/>
  <c r="Q21" i="4"/>
  <c r="Q19" i="4"/>
  <c r="P21" i="4"/>
  <c r="P18" i="4"/>
  <c r="P20" i="4"/>
  <c r="P19" i="4"/>
  <c r="O21" i="4"/>
  <c r="O20" i="4"/>
  <c r="O18" i="4"/>
  <c r="O19" i="4"/>
  <c r="N21" i="4"/>
  <c r="N20" i="4"/>
  <c r="N19" i="4"/>
  <c r="N18" i="4"/>
  <c r="M20" i="4"/>
  <c r="M18" i="4"/>
  <c r="M21" i="4"/>
  <c r="M19" i="4"/>
  <c r="L20" i="4"/>
  <c r="L18" i="4"/>
  <c r="L21" i="4"/>
  <c r="L19" i="4"/>
  <c r="K20" i="4"/>
  <c r="K18" i="4"/>
  <c r="K21" i="4"/>
  <c r="K19" i="4"/>
  <c r="J21" i="4"/>
  <c r="J20" i="4"/>
  <c r="J18" i="4"/>
  <c r="J19" i="4"/>
  <c r="I21" i="4"/>
  <c r="I20" i="4"/>
  <c r="I19" i="4"/>
  <c r="I18" i="4"/>
  <c r="H21" i="4"/>
  <c r="H19" i="4"/>
  <c r="H18" i="4"/>
  <c r="H20" i="4"/>
  <c r="G21" i="4"/>
  <c r="G20" i="4"/>
  <c r="G18" i="4"/>
  <c r="G19" i="4"/>
  <c r="F21" i="4"/>
  <c r="F19" i="4"/>
  <c r="F20" i="4"/>
  <c r="F18" i="4"/>
  <c r="E21" i="4"/>
  <c r="E19" i="4"/>
  <c r="E20" i="4"/>
  <c r="D21" i="4"/>
  <c r="D19" i="4"/>
  <c r="D20" i="4"/>
  <c r="C21" i="4"/>
  <c r="C19" i="4"/>
  <c r="C20" i="4"/>
  <c r="X21" i="3"/>
  <c r="X18" i="3"/>
  <c r="W21" i="3"/>
  <c r="W18" i="3"/>
  <c r="V21" i="3"/>
  <c r="V18" i="3"/>
  <c r="U21" i="3"/>
  <c r="U18" i="3"/>
  <c r="T21" i="3"/>
  <c r="T18" i="3"/>
  <c r="S21" i="3"/>
  <c r="S18" i="3"/>
  <c r="R21" i="3"/>
  <c r="R18" i="3"/>
  <c r="Q21" i="3"/>
  <c r="Q18" i="3"/>
  <c r="P21" i="3"/>
  <c r="P18" i="3"/>
  <c r="O21" i="3"/>
  <c r="O18" i="3"/>
  <c r="X19" i="3"/>
  <c r="X20" i="3"/>
  <c r="W19" i="3"/>
  <c r="W20" i="3"/>
  <c r="V20" i="3"/>
  <c r="V19" i="3"/>
  <c r="U20" i="3"/>
  <c r="U19" i="3"/>
  <c r="T20" i="3"/>
  <c r="T19" i="3"/>
  <c r="S20" i="3"/>
  <c r="S19" i="3"/>
  <c r="R19" i="3"/>
  <c r="R20" i="3"/>
  <c r="Q19" i="3"/>
  <c r="Q20" i="3"/>
  <c r="P19" i="3"/>
  <c r="P20" i="3"/>
  <c r="O19" i="3"/>
  <c r="O20" i="3"/>
  <c r="N19" i="3"/>
  <c r="N20" i="3"/>
  <c r="N21" i="3"/>
  <c r="M21" i="3"/>
  <c r="M19" i="3"/>
  <c r="M20" i="3"/>
  <c r="L21" i="3"/>
  <c r="L19" i="3"/>
  <c r="L20" i="3"/>
  <c r="K21" i="3"/>
  <c r="K19" i="3"/>
  <c r="K20" i="3"/>
  <c r="K18" i="3"/>
  <c r="J20" i="3"/>
  <c r="J21" i="3"/>
  <c r="J19" i="3"/>
  <c r="J18" i="3"/>
  <c r="I21" i="3"/>
  <c r="I20" i="3"/>
  <c r="I19" i="3"/>
  <c r="I18" i="3"/>
  <c r="H19" i="3"/>
  <c r="H21" i="3"/>
  <c r="H20" i="3"/>
  <c r="H18" i="3"/>
  <c r="G19" i="3"/>
  <c r="G18" i="3"/>
  <c r="G21" i="3"/>
  <c r="G20" i="3"/>
  <c r="F19" i="3"/>
  <c r="F21" i="3"/>
  <c r="F20" i="3"/>
  <c r="F18" i="3"/>
  <c r="E19" i="3"/>
  <c r="E21" i="3"/>
  <c r="E20" i="3"/>
  <c r="E18" i="3"/>
  <c r="D19" i="3"/>
  <c r="D20" i="3"/>
  <c r="D21" i="3"/>
  <c r="D18" i="3"/>
  <c r="C21" i="3"/>
  <c r="C20" i="3"/>
  <c r="C19" i="3"/>
  <c r="C18" i="3"/>
  <c r="Z18" i="2"/>
  <c r="Z20" i="2"/>
  <c r="Z19" i="2"/>
  <c r="Y18" i="2"/>
  <c r="Y20" i="2"/>
  <c r="Y19" i="2"/>
  <c r="X19" i="2"/>
  <c r="X20" i="2"/>
  <c r="X18" i="2"/>
  <c r="W20" i="2"/>
  <c r="W19" i="2"/>
  <c r="W18" i="2"/>
  <c r="V20" i="2"/>
  <c r="V19" i="2"/>
  <c r="V18" i="2"/>
  <c r="U20" i="2"/>
  <c r="U19" i="2"/>
  <c r="U18" i="2"/>
  <c r="T20" i="2"/>
  <c r="T18" i="2"/>
  <c r="T19" i="2"/>
  <c r="S18" i="2"/>
  <c r="S19" i="2"/>
  <c r="S20" i="2"/>
  <c r="R19" i="2"/>
  <c r="R20" i="2"/>
  <c r="R18" i="2"/>
  <c r="Q18" i="2"/>
  <c r="Q20" i="2"/>
  <c r="Q19" i="2"/>
  <c r="P20" i="2"/>
  <c r="P19" i="2"/>
  <c r="P18" i="2"/>
  <c r="O20" i="2"/>
  <c r="O19" i="2"/>
  <c r="O18" i="2"/>
  <c r="N19" i="2"/>
  <c r="N20" i="2"/>
  <c r="N18" i="2"/>
  <c r="M20" i="2"/>
  <c r="M19" i="2"/>
  <c r="M18" i="2"/>
  <c r="L20" i="2"/>
  <c r="L19" i="2"/>
  <c r="L18" i="2"/>
  <c r="K19" i="2"/>
  <c r="K20" i="2"/>
  <c r="K18" i="2"/>
  <c r="J20" i="2"/>
  <c r="J19" i="2"/>
  <c r="J18" i="2"/>
  <c r="I20" i="2"/>
  <c r="I19" i="2"/>
  <c r="I18" i="2"/>
  <c r="H19" i="2"/>
  <c r="H20" i="2"/>
  <c r="H18" i="2"/>
  <c r="G20" i="2"/>
  <c r="G19" i="2"/>
  <c r="G18" i="2"/>
  <c r="F19" i="2"/>
  <c r="F20" i="2"/>
  <c r="F21" i="2"/>
  <c r="F18" i="2"/>
  <c r="E19" i="2"/>
  <c r="E20" i="2"/>
  <c r="E21" i="2"/>
  <c r="E18" i="2"/>
  <c r="D19" i="2"/>
  <c r="D21" i="2"/>
  <c r="D20" i="2"/>
  <c r="D18" i="2"/>
  <c r="C19" i="2"/>
  <c r="C21" i="2"/>
  <c r="C20" i="2"/>
  <c r="C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Linha do padrão (Folha de Tomate). A concentração é o valor certificado nas duas planilhas, então a razão de C é 1 por construção.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Linha do padrão (Folha de Tomate). A concentração é o valor certificado nas duas planilhas, então a razão de C é 1 por construção.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Linha do padrão (Folha de Tomate). A concentração é o valor certificado nas duas planilhas, então a razão de C é 1 por construção.</t>
        </r>
      </text>
    </comment>
  </commentList>
</comments>
</file>

<file path=xl/sharedStrings.xml><?xml version="1.0" encoding="utf-8"?>
<sst xmlns="http://schemas.openxmlformats.org/spreadsheetml/2006/main" count="584" uniqueCount="107">
  <si>
    <t>Comparação: calculadora × planilhas convencionais (FRX-DE, raízes de cana)</t>
  </si>
  <si>
    <t>O que é</t>
  </si>
  <si>
    <t>Razão Calculadora / Planilha convencional para concentração (C), incerteza (Erro) e limite de detecção (LD). O esperado é 1.</t>
  </si>
  <si>
    <t>Abas</t>
  </si>
  <si>
    <t>'Razão AgV/AuV/RhV' = comparação (fórmulas). 'Calc_*' e 'Manual_*' = valores copiados das planilhas originais (texto azul).</t>
  </si>
  <si>
    <t>Textos nas razões</t>
  </si>
  <si>
    <t>'só calc' / 'só manual' = só uma das planilhas tem número; 'sem valor' = nenhuma tem (ex.: &lt;LD ou erro #VALUE!).</t>
  </si>
  <si>
    <t>Tolerância (editável)</t>
  </si>
  <si>
    <t>← faixa considerada '≈ 1' na cor verde (ex.: 1% = razão entre 0,99 e 1,01). Valor escolhido pelo Claude; ajuste à vontade.</t>
  </si>
  <si>
    <t>Linha Pd</t>
  </si>
  <si>
    <t>É o padrão (Folha de Tomate): C é o valor certificado nas duas planilhas, então a razão de C é 1 por construção.</t>
  </si>
  <si>
    <t>Elementos por alvo</t>
  </si>
  <si>
    <t>AgV</t>
  </si>
  <si>
    <t>Comparados: P, S, Cl, K, Ca, Cr, Mn, Fe, Ni, Cu, Zn, Br | Só na calculadora (fora da comparação): Se, Sr, Ag, Ag (22.103 keV, mg/kg)</t>
  </si>
  <si>
    <t>Padrão: 250226ab (b) Tomato Leaves - 1573a)</t>
  </si>
  <si>
    <t>AuV</t>
  </si>
  <si>
    <t>Comparados: S, Cl, K, Ca, Cr, Mn, Fe, Ni, Cu, Zn, Se | Só na calculadora (fora da comparação): Br, Sr</t>
  </si>
  <si>
    <t>Padrão: 250326ab (b) Tomato Leaves - 1573a)</t>
  </si>
  <si>
    <t>RhV</t>
  </si>
  <si>
    <t>Comparados: P, S, Cl, K, Ca, Cr, Mn, Fe, Ni, Cu, Zn | Só na calculadora (fora da comparação): Br, Sr</t>
  </si>
  <si>
    <t>Padrão: 110326ab (b) Tomato Leaves - 1573a)</t>
  </si>
  <si>
    <t>Observações</t>
  </si>
  <si>
    <t>RhV — C e Erro ≠ 1</t>
  </si>
  <si>
    <t>Na planilha convencional do RhV o fator de normalização (célula 'Norm:', col. E das abas de elemento) foi digitado como 1 para todas as amostras, em vez da fórmula Ar(padrão)/Ar(amostra) usada no AgV e no AuV. A razão de cada amostra é exatamente esse fator (0,57–0,81), ou seja, a calculadora normalizou e a planilha não.</t>
  </si>
  <si>
    <t>AgV — LD de P, Ni e Zn</t>
  </si>
  <si>
    <t>O LD da planilha convencional usa o Bg digitado à mão (célula X7). Para P, Ni e Zn esse Bg difere do usado pela calculadora (razões 0,88; 0,97; 0,95). Nos demais elementos o LD bate.</t>
  </si>
  <si>
    <t>AuV — LD</t>
  </si>
  <si>
    <t>Na planilha convencional do AuV o Bg (X7) ficou como 'Insira Bg' em todos os elementos exceto Cr, por isso o LD só pode ser comparado para Cr.</t>
  </si>
  <si>
    <t>Células 'sem valor'</t>
  </si>
  <si>
    <t>AgV Br/R3 e RhV Cu/R3–R5: a calculadora marcou '&lt;LD' e a planilha convencional deu erro #VALUE!.</t>
  </si>
  <si>
    <t>Alvo AgV — razão Calculadora / Planilha convencional</t>
  </si>
  <si>
    <t>Valor esperado = 1. Verde: |razão − 1| ≤ tolerância; vermelho: fora da tolerância (definida no Leia-me).</t>
  </si>
  <si>
    <t>P</t>
  </si>
  <si>
    <t>S</t>
  </si>
  <si>
    <t>Cl</t>
  </si>
  <si>
    <t>K</t>
  </si>
  <si>
    <t>Ca</t>
  </si>
  <si>
    <t>Cr</t>
  </si>
  <si>
    <t>Mn</t>
  </si>
  <si>
    <t>Fe</t>
  </si>
  <si>
    <t>Ni</t>
  </si>
  <si>
    <t>Cu</t>
  </si>
  <si>
    <t>Zn</t>
  </si>
  <si>
    <t>Br</t>
  </si>
  <si>
    <t>Medida</t>
  </si>
  <si>
    <t>Amostra</t>
  </si>
  <si>
    <t>C</t>
  </si>
  <si>
    <t>Erro</t>
  </si>
  <si>
    <t>LD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</si>
  <si>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</si>
  <si>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</si>
  <si>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</si>
  <si>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</si>
  <si>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</si>
  <si>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</si>
  <si>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</si>
  <si>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</si>
  <si>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</si>
  <si>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</si>
  <si>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</si>
  <si>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Média (R2–R11)</t>
  </si>
  <si>
    <t>Desvio padrão</t>
  </si>
  <si>
    <t>Mín.</t>
  </si>
  <si>
    <t>Máx.</t>
  </si>
  <si>
    <t>Alvo AuV — razão Calculadora / Planilha convencional</t>
  </si>
  <si>
    <t>Se</t>
  </si>
  <si>
    <t>Alvo RhV — razão Calculadora / Planilha convencional</t>
  </si>
  <si>
    <t>Calculadora — alvo AgV</t>
  </si>
  <si>
    <t>Fonte: amostras_todos_alvos.xlsx, aba Ag (valores copiados)</t>
  </si>
  <si>
    <t>P (mg/kg)</t>
  </si>
  <si>
    <t>S (mg/kg)</t>
  </si>
  <si>
    <t>Cl (mg/kg)</t>
  </si>
  <si>
    <t>K (mg/kg)</t>
  </si>
  <si>
    <t>Ca (mg/kg)</t>
  </si>
  <si>
    <t>Cr (mg/kg)</t>
  </si>
  <si>
    <t>Mn (mg/kg)</t>
  </si>
  <si>
    <t>Fe (mg/kg)</t>
  </si>
  <si>
    <t>Ni (mg/kg)</t>
  </si>
  <si>
    <t>Cu (mg/kg)</t>
  </si>
  <si>
    <t>Zn (mg/kg)</t>
  </si>
  <si>
    <t>Br (mg/kg)</t>
  </si>
  <si>
    <t>Pd Folha tomate 3</t>
  </si>
  <si>
    <t>R2</t>
  </si>
  <si>
    <t>R3</t>
  </si>
  <si>
    <t>&lt;LD</t>
  </si>
  <si>
    <t>R4</t>
  </si>
  <si>
    <t>R5</t>
  </si>
  <si>
    <t>R6</t>
  </si>
  <si>
    <t>R7</t>
  </si>
  <si>
    <t>R8</t>
  </si>
  <si>
    <t>R9</t>
  </si>
  <si>
    <t>R10</t>
  </si>
  <si>
    <t>R11</t>
  </si>
  <si>
    <t>Planilha convencional — alvo AgV</t>
  </si>
  <si>
    <t>Fonte: 250226_Raiz_PdTomate_AgV.xlsx — abas de cada elemento: conc. P8:S18, LD em X9 (valores copiados)</t>
  </si>
  <si>
    <t>Pd</t>
  </si>
  <si>
    <t>erro #VALUE!</t>
  </si>
  <si>
    <t>Calculadora — alvo AuV</t>
  </si>
  <si>
    <t>Fonte: amostras_todos_alvos.xlsx, aba Au (valores copiados)</t>
  </si>
  <si>
    <t>Se (mg/kg)</t>
  </si>
  <si>
    <t>Planilha convencional — alvo AuV</t>
  </si>
  <si>
    <t>Fonte: 250326_Lucas_Raiz_AuV.xlsx — abas de cada elemento: conc. P8:S18, LD em X9 (valores copiados)</t>
  </si>
  <si>
    <t>PD</t>
  </si>
  <si>
    <t>Calculadora — alvo RhV</t>
  </si>
  <si>
    <t>Fonte: amostras_todos_alvos.xlsx, aba Rh (valores copiados)</t>
  </si>
  <si>
    <t>Planilha convencional — alvo RhV</t>
  </si>
  <si>
    <t>Fonte: 110326_Raiz_FolhaTomate_RhV.xlsx — abas de cada elemento: conc. P8:S18, LD em X9 (valores copiados)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</si>
</sst>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555555"/>
      <name val="Arial"/>
    </font>
    <font>
      <b/>
      <sz val="11"/>
      <name val="Arial"/>
    </font>
    <font>
      <sz val="11"/>
      <color rgb="FF0000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5" fontId="4" fillId="4" borderId="0" xfId="0" applyNumberFormat="1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5" fillId="3" borderId="1" xfId="0" applyNumberFormat="1" applyFont="1" applyFill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5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</cellXfs>
  <cellStyles count="1">
    <cellStyle name="Normal" xfId="0" builtinId="0"/>
  </cellStyles>
  <dxfs count="9">
    <dxf>
      <font>
        <i/>
        <color rgb="FF7F7F7F"/>
        <name val="Arial"/>
      </font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i/>
        <color rgb="FF7F7F7F"/>
        <name val="Arial"/>
      </font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i/>
        <color rgb="FF7F7F7F"/>
        <name val="Arial"/>
      </font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" x14ac:dyDescent="0.25"/>
  <cols>
    <col min="1" max="1" width="22" customWidth="1"/>
    <col min="2" max="2" width="120" customWidth="1"/>
  </cols>
  <sheetData>
    <row r="1" spans="1:3" ht="16.5" x14ac:dyDescent="0.25">
      <c r="A1" s="1" t="s">
        <v>0</v>
      </c>
    </row>
    <row r="3" spans="1:3" ht="28.5" x14ac:dyDescent="0.25">
      <c r="A3" s="2" t="s">
        <v>1</v>
      </c>
      <c r="B3" s="3" t="s">
        <v>2</v>
      </c>
      <c r="C3" s="4"/>
    </row>
    <row r="4" spans="1:3" x14ac:dyDescent="0.25">
      <c r="A4" s="2" t="s">
        <v>3</v>
      </c>
      <c r="B4" s="3" t="s">
        <v>4</v>
      </c>
      <c r="C4" s="4"/>
    </row>
    <row r="5" spans="1:3" x14ac:dyDescent="0.25">
      <c r="A5" s="2" t="s">
        <v>5</v>
      </c>
      <c r="B5" s="3" t="s">
        <v>6</v>
      </c>
      <c r="C5" s="4"/>
    </row>
    <row r="6" spans="1:3" ht="168" x14ac:dyDescent="0.25">
      <c r="A6" s="2" t="s">
        <v>7</v>
      </c>
      <c r="B6" s="5">
        <v>0.01</v>
      </c>
      <c r="C6" s="6" t="s">
        <v>8</v>
      </c>
    </row>
    <row r="7" spans="1:3" x14ac:dyDescent="0.25">
      <c r="A7" s="2" t="s">
        <v>9</v>
      </c>
      <c r="B7" s="3" t="s">
        <v>10</v>
      </c>
      <c r="C7" s="4"/>
    </row>
    <row r="8" spans="1:3" x14ac:dyDescent="0.25">
      <c r="A8" s="4"/>
      <c r="B8" s="4"/>
      <c r="C8" s="4"/>
    </row>
    <row r="9" spans="1:3" x14ac:dyDescent="0.25">
      <c r="A9" s="2" t="s">
        <v>11</v>
      </c>
      <c r="B9" s="4"/>
      <c r="C9" s="4"/>
    </row>
    <row r="10" spans="1:3" ht="28.5" x14ac:dyDescent="0.25">
      <c r="A10" s="2" t="s">
        <v>12</v>
      </c>
      <c r="B10" s="3" t="s">
        <v>13</v>
      </c>
      <c r="C10" s="4"/>
    </row>
    <row r="11" spans="1:3" x14ac:dyDescent="0.25">
      <c r="A11" s="4"/>
      <c r="B11" s="6" t="s">
        <v>14</v>
      </c>
      <c r="C11" s="4"/>
    </row>
    <row r="12" spans="1:3" x14ac:dyDescent="0.25">
      <c r="A12" s="2" t="s">
        <v>15</v>
      </c>
      <c r="B12" s="3" t="s">
        <v>16</v>
      </c>
      <c r="C12" s="4"/>
    </row>
    <row r="13" spans="1:3" x14ac:dyDescent="0.25">
      <c r="A13" s="4"/>
      <c r="B13" s="6" t="s">
        <v>17</v>
      </c>
      <c r="C13" s="4"/>
    </row>
    <row r="14" spans="1:3" x14ac:dyDescent="0.25">
      <c r="A14" s="2" t="s">
        <v>18</v>
      </c>
      <c r="B14" s="3" t="s">
        <v>19</v>
      </c>
      <c r="C14" s="4"/>
    </row>
    <row r="15" spans="1:3" x14ac:dyDescent="0.25">
      <c r="A15" s="4"/>
      <c r="B15" s="6" t="s">
        <v>20</v>
      </c>
      <c r="C15" s="4"/>
    </row>
    <row r="16" spans="1:3" x14ac:dyDescent="0.25">
      <c r="A16" s="4"/>
      <c r="B16" s="4"/>
      <c r="C16" s="4"/>
    </row>
    <row r="17" spans="1:3" x14ac:dyDescent="0.25">
      <c r="A17" s="2" t="s">
        <v>21</v>
      </c>
      <c r="B17" s="4"/>
      <c r="C17" s="4"/>
    </row>
    <row r="18" spans="1:3" ht="42.75" x14ac:dyDescent="0.25">
      <c r="A18" s="2" t="s">
        <v>22</v>
      </c>
      <c r="B18" s="3" t="s">
        <v>23</v>
      </c>
      <c r="C18" s="4"/>
    </row>
    <row r="19" spans="1:3" ht="30" x14ac:dyDescent="0.25">
      <c r="A19" s="2" t="s">
        <v>24</v>
      </c>
      <c r="B19" s="3" t="s">
        <v>25</v>
      </c>
      <c r="C19" s="4"/>
    </row>
    <row r="20" spans="1:3" ht="28.5" x14ac:dyDescent="0.25">
      <c r="A20" s="2" t="s">
        <v>26</v>
      </c>
      <c r="B20" s="3" t="s">
        <v>27</v>
      </c>
      <c r="C20" s="4"/>
    </row>
    <row r="21" spans="1:3" x14ac:dyDescent="0.25">
      <c r="A21" s="2" t="s">
        <v>28</v>
      </c>
      <c r="B21" s="3" t="s">
        <v>29</v>
      </c>
      <c r="C2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18" customWidth="1"/>
    <col min="3" max="26" width="10" customWidth="1"/>
  </cols>
  <sheetData>
    <row r="1" spans="1:26" ht="16.5" x14ac:dyDescent="0.25">
      <c r="A1" s="1" t="s">
        <v>30</v>
      </c>
    </row>
    <row r="2" spans="1:26" x14ac:dyDescent="0.25">
      <c r="A2" s="7" t="s">
        <v>31</v>
      </c>
    </row>
    <row r="3" spans="1:26" x14ac:dyDescent="0.25">
      <c r="A3" s="8"/>
      <c r="B3" s="8"/>
      <c r="C3" s="17" t="s">
        <v>32</v>
      </c>
      <c r="D3" s="17"/>
      <c r="E3" s="17" t="s">
        <v>33</v>
      </c>
      <c r="F3" s="17"/>
      <c r="G3" s="17" t="s">
        <v>34</v>
      </c>
      <c r="H3" s="17"/>
      <c r="I3" s="17" t="s">
        <v>35</v>
      </c>
      <c r="J3" s="17"/>
      <c r="K3" s="17" t="s">
        <v>36</v>
      </c>
      <c r="L3" s="17"/>
      <c r="M3" s="17" t="s">
        <v>37</v>
      </c>
      <c r="N3" s="17"/>
      <c r="O3" s="17" t="s">
        <v>38</v>
      </c>
      <c r="P3" s="17"/>
      <c r="Q3" s="17" t="s">
        <v>39</v>
      </c>
      <c r="R3" s="17"/>
      <c r="S3" s="17" t="s">
        <v>40</v>
      </c>
      <c r="T3" s="17"/>
      <c r="U3" s="17" t="s">
        <v>41</v>
      </c>
      <c r="V3" s="17"/>
      <c r="W3" s="17" t="s">
        <v>42</v>
      </c>
      <c r="X3" s="17"/>
      <c r="Y3" s="17" t="s">
        <v>43</v>
      </c>
      <c r="Z3" s="17"/>
    </row>
    <row r="4" spans="1:26" x14ac:dyDescent="0.25">
      <c r="A4" s="8" t="s">
        <v>44</v>
      </c>
      <c r="B4" s="8" t="s">
        <v>45</v>
      </c>
      <c r="C4" s="8" t="s">
        <v>46</v>
      </c>
      <c r="D4" s="8" t="s">
        <v>47</v>
      </c>
      <c r="E4" s="8" t="s">
        <v>46</v>
      </c>
      <c r="F4" s="8" t="s">
        <v>47</v>
      </c>
      <c r="G4" s="8" t="s">
        <v>46</v>
      </c>
      <c r="H4" s="8" t="s">
        <v>47</v>
      </c>
      <c r="I4" s="8" t="s">
        <v>46</v>
      </c>
      <c r="J4" s="8" t="s">
        <v>47</v>
      </c>
      <c r="K4" s="8" t="s">
        <v>46</v>
      </c>
      <c r="L4" s="8" t="s">
        <v>47</v>
      </c>
      <c r="M4" s="8" t="s">
        <v>46</v>
      </c>
      <c r="N4" s="8" t="s">
        <v>47</v>
      </c>
      <c r="O4" s="8" t="s">
        <v>46</v>
      </c>
      <c r="P4" s="8" t="s">
        <v>47</v>
      </c>
      <c r="Q4" s="8" t="s">
        <v>46</v>
      </c>
      <c r="R4" s="8" t="s">
        <v>47</v>
      </c>
      <c r="S4" s="8" t="s">
        <v>46</v>
      </c>
      <c r="T4" s="8" t="s">
        <v>47</v>
      </c>
      <c r="U4" s="8" t="s">
        <v>46</v>
      </c>
      <c r="V4" s="8" t="s">
        <v>47</v>
      </c>
      <c r="W4" s="8" t="s">
        <v>46</v>
      </c>
      <c r="X4" s="8" t="s">
        <v>47</v>
      </c>
      <c r="Y4" s="8" t="s">
        <v>46</v>
      </c>
      <c r="Z4" s="8" t="s">
        <v>47</v>
      </c>
    </row>
    <row r="5" spans="1:26" x14ac:dyDescent="0.25">
      <c r="A5" s="9" t="s">
        <v>48</v>
      </c>
      <c r="B5" s="9"/>
      <c r="C5" s="10">
        <f>IF(AND(ISNUMBER(Calc_AgV!C5),ISNUMBER(Manual_AgV!C5)),Calc_AgV!C5/Manual_AgV!C5,IF(AND(ISNUMBER(Calc_AgV!C5),NOT(ISNUMBER(Manual_AgV!C5))),"só calc",IF(AND(ISNUMBER(Manual_AgV!C5),NOT(ISNUMBER(Calc_AgV!C5))),"só manual","sem valor")))</f>
        <v>0.88268365498779278</v>
      </c>
      <c r="D5" s="10"/>
      <c r="E5" s="10">
        <f>IF(AND(ISNUMBER(Calc_AgV!E5),ISNUMBER(Manual_AgV!E5)),Calc_AgV!E5/Manual_AgV!E5,IF(AND(ISNUMBER(Calc_AgV!E5),NOT(ISNUMBER(Manual_AgV!E5))),"só calc",IF(AND(ISNUMBER(Manual_AgV!E5),NOT(ISNUMBER(Calc_AgV!E5))),"só manual","sem valor")))</f>
        <v>1</v>
      </c>
      <c r="F5" s="10"/>
      <c r="G5" s="10">
        <f>IF(AND(ISNUMBER(Calc_AgV!G5),ISNUMBER(Manual_AgV!G5)),Calc_AgV!G5/Manual_AgV!G5,IF(AND(ISNUMBER(Calc_AgV!G5),NOT(ISNUMBER(Manual_AgV!G5))),"só calc",IF(AND(ISNUMBER(Manual_AgV!G5),NOT(ISNUMBER(Calc_AgV!G5))),"só manual","sem valor")))</f>
        <v>1</v>
      </c>
      <c r="H5" s="10"/>
      <c r="I5" s="10">
        <f>IF(AND(ISNUMBER(Calc_AgV!I5),ISNUMBER(Manual_AgV!I5)),Calc_AgV!I5/Manual_AgV!I5,IF(AND(ISNUMBER(Calc_AgV!I5),NOT(ISNUMBER(Manual_AgV!I5))),"só calc",IF(AND(ISNUMBER(Manual_AgV!I5),NOT(ISNUMBER(Calc_AgV!I5))),"só manual","sem valor")))</f>
        <v>1</v>
      </c>
      <c r="J5" s="10"/>
      <c r="K5" s="10">
        <f>IF(AND(ISNUMBER(Calc_AgV!K5),ISNUMBER(Manual_AgV!K5)),Calc_AgV!K5/Manual_AgV!K5,IF(AND(ISNUMBER(Calc_AgV!K5),NOT(ISNUMBER(Manual_AgV!K5))),"só calc",IF(AND(ISNUMBER(Manual_AgV!K5),NOT(ISNUMBER(Calc_AgV!K5))),"só manual","sem valor")))</f>
        <v>1</v>
      </c>
      <c r="L5" s="10"/>
      <c r="M5" s="10">
        <f>IF(AND(ISNUMBER(Calc_AgV!M5),ISNUMBER(Manual_AgV!M5)),Calc_AgV!M5/Manual_AgV!M5,IF(AND(ISNUMBER(Calc_AgV!M5),NOT(ISNUMBER(Manual_AgV!M5))),"só calc",IF(AND(ISNUMBER(Manual_AgV!M5),NOT(ISNUMBER(Calc_AgV!M5))),"só manual","sem valor")))</f>
        <v>1</v>
      </c>
      <c r="N5" s="10"/>
      <c r="O5" s="10">
        <f>IF(AND(ISNUMBER(Calc_AgV!O5),ISNUMBER(Manual_AgV!O5)),Calc_AgV!O5/Manual_AgV!O5,IF(AND(ISNUMBER(Calc_AgV!O5),NOT(ISNUMBER(Manual_AgV!O5))),"só calc",IF(AND(ISNUMBER(Manual_AgV!O5),NOT(ISNUMBER(Calc_AgV!O5))),"só manual","sem valor")))</f>
        <v>1</v>
      </c>
      <c r="P5" s="10"/>
      <c r="Q5" s="10">
        <f>IF(AND(ISNUMBER(Calc_AgV!Q5),ISNUMBER(Manual_AgV!Q5)),Calc_AgV!Q5/Manual_AgV!Q5,IF(AND(ISNUMBER(Calc_AgV!Q5),NOT(ISNUMBER(Manual_AgV!Q5))),"só calc",IF(AND(ISNUMBER(Manual_AgV!Q5),NOT(ISNUMBER(Calc_AgV!Q5))),"só manual","sem valor")))</f>
        <v>1</v>
      </c>
      <c r="R5" s="10"/>
      <c r="S5" s="10">
        <f>IF(AND(ISNUMBER(Calc_AgV!S5),ISNUMBER(Manual_AgV!S5)),Calc_AgV!S5/Manual_AgV!S5,IF(AND(ISNUMBER(Calc_AgV!S5),NOT(ISNUMBER(Manual_AgV!S5))),"só calc",IF(AND(ISNUMBER(Manual_AgV!S5),NOT(ISNUMBER(Calc_AgV!S5))),"só manual","sem valor")))</f>
        <v>0.97061870432639274</v>
      </c>
      <c r="T5" s="10"/>
      <c r="U5" s="10">
        <f>IF(AND(ISNUMBER(Calc_AgV!U5),ISNUMBER(Manual_AgV!U5)),Calc_AgV!U5/Manual_AgV!U5,IF(AND(ISNUMBER(Calc_AgV!U5),NOT(ISNUMBER(Manual_AgV!U5))),"só calc",IF(AND(ISNUMBER(Manual_AgV!U5),NOT(ISNUMBER(Calc_AgV!U5))),"só manual","sem valor")))</f>
        <v>1</v>
      </c>
      <c r="V5" s="10"/>
      <c r="W5" s="10">
        <f>IF(AND(ISNUMBER(Calc_AgV!W5),ISNUMBER(Manual_AgV!W5)),Calc_AgV!W5/Manual_AgV!W5,IF(AND(ISNUMBER(Calc_AgV!W5),NOT(ISNUMBER(Manual_AgV!W5))),"só calc",IF(AND(ISNUMBER(Manual_AgV!W5),NOT(ISNUMBER(Calc_AgV!W5))),"só manual","sem valor")))</f>
        <v>0.95349266645539887</v>
      </c>
      <c r="X5" s="10"/>
      <c r="Y5" s="10">
        <f>IF(AND(ISNUMBER(Calc_AgV!Y5),ISNUMBER(Manual_AgV!Y5)),Calc_AgV!Y5/Manual_AgV!Y5,IF(AND(ISNUMBER(Calc_AgV!Y5),NOT(ISNUMBER(Manual_AgV!Y5))),"só calc",IF(AND(ISNUMBER(Manual_AgV!Y5),NOT(ISNUMBER(Calc_AgV!Y5))),"só manual","sem valor")))</f>
        <v>1</v>
      </c>
      <c r="Z5" s="10"/>
    </row>
    <row r="6" spans="1:26" x14ac:dyDescent="0.25">
      <c r="A6" s="11" t="s">
        <v>49</v>
      </c>
      <c r="B6" s="11" t="str">
        <f>Calc_AgV!B6</f>
        <v>Pd Folha tomate 3</v>
      </c>
      <c r="C6" s="12">
        <f>IF(AND(ISNUMBER(Calc_AgV!C6),ISNUMBER(Manual_AgV!C6)),Calc_AgV!C6/Manual_AgV!C6,IF(AND(ISNUMBER(Calc_AgV!C6),NOT(ISNUMBER(Manual_AgV!C6))),"só calc",IF(AND(ISNUMBER(Manual_AgV!C6),NOT(ISNUMBER(Calc_AgV!C6))),"só manual","sem valor")))</f>
        <v>1</v>
      </c>
      <c r="D6" s="12">
        <f>IF(AND(ISNUMBER(Calc_AgV!D6),ISNUMBER(Manual_AgV!D6)),Calc_AgV!D6/Manual_AgV!D6,IF(AND(ISNUMBER(Calc_AgV!D6),NOT(ISNUMBER(Manual_AgV!D6))),"só calc",IF(AND(ISNUMBER(Manual_AgV!D6),NOT(ISNUMBER(Calc_AgV!D6))),"só manual","sem valor")))</f>
        <v>1.0083370335060613</v>
      </c>
      <c r="E6" s="12">
        <f>IF(AND(ISNUMBER(Calc_AgV!E6),ISNUMBER(Manual_AgV!E6)),Calc_AgV!E6/Manual_AgV!E6,IF(AND(ISNUMBER(Calc_AgV!E6),NOT(ISNUMBER(Manual_AgV!E6))),"só calc",IF(AND(ISNUMBER(Manual_AgV!E6),NOT(ISNUMBER(Calc_AgV!E6))),"só manual","sem valor")))</f>
        <v>1</v>
      </c>
      <c r="F6" s="12">
        <f>IF(AND(ISNUMBER(Calc_AgV!F6),ISNUMBER(Manual_AgV!F6)),Calc_AgV!F6/Manual_AgV!F6,IF(AND(ISNUMBER(Calc_AgV!F6),NOT(ISNUMBER(Manual_AgV!F6))),"só calc",IF(AND(ISNUMBER(Manual_AgV!F6),NOT(ISNUMBER(Calc_AgV!F6))),"só manual","sem valor")))</f>
        <v>1</v>
      </c>
      <c r="G6" s="12">
        <f>IF(AND(ISNUMBER(Calc_AgV!G6),ISNUMBER(Manual_AgV!G6)),Calc_AgV!G6/Manual_AgV!G6,IF(AND(ISNUMBER(Calc_AgV!G6),NOT(ISNUMBER(Manual_AgV!G6))),"só calc",IF(AND(ISNUMBER(Manual_AgV!G6),NOT(ISNUMBER(Calc_AgV!G6))),"só manual","sem valor")))</f>
        <v>1</v>
      </c>
      <c r="H6" s="12">
        <f>IF(AND(ISNUMBER(Calc_AgV!H6),ISNUMBER(Manual_AgV!H6)),Calc_AgV!H6/Manual_AgV!H6,IF(AND(ISNUMBER(Calc_AgV!H6),NOT(ISNUMBER(Manual_AgV!H6))),"só calc",IF(AND(ISNUMBER(Manual_AgV!H6),NOT(ISNUMBER(Calc_AgV!H6))),"só manual","sem valor")))</f>
        <v>1</v>
      </c>
      <c r="I6" s="12">
        <f>IF(AND(ISNUMBER(Calc_AgV!I6),ISNUMBER(Manual_AgV!I6)),Calc_AgV!I6/Manual_AgV!I6,IF(AND(ISNUMBER(Calc_AgV!I6),NOT(ISNUMBER(Manual_AgV!I6))),"só calc",IF(AND(ISNUMBER(Manual_AgV!I6),NOT(ISNUMBER(Calc_AgV!I6))),"só manual","sem valor")))</f>
        <v>1</v>
      </c>
      <c r="J6" s="12">
        <f>IF(AND(ISNUMBER(Calc_AgV!J6),ISNUMBER(Manual_AgV!J6)),Calc_AgV!J6/Manual_AgV!J6,IF(AND(ISNUMBER(Calc_AgV!J6),NOT(ISNUMBER(Manual_AgV!J6))),"só calc",IF(AND(ISNUMBER(Manual_AgV!J6),NOT(ISNUMBER(Calc_AgV!J6))),"só manual","sem valor")))</f>
        <v>1</v>
      </c>
      <c r="K6" s="12">
        <f>IF(AND(ISNUMBER(Calc_AgV!K6),ISNUMBER(Manual_AgV!K6)),Calc_AgV!K6/Manual_AgV!K6,IF(AND(ISNUMBER(Calc_AgV!K6),NOT(ISNUMBER(Manual_AgV!K6))),"só calc",IF(AND(ISNUMBER(Manual_AgV!K6),NOT(ISNUMBER(Calc_AgV!K6))),"só manual","sem valor")))</f>
        <v>1</v>
      </c>
      <c r="L6" s="12">
        <f>IF(AND(ISNUMBER(Calc_AgV!L6),ISNUMBER(Manual_AgV!L6)),Calc_AgV!L6/Manual_AgV!L6,IF(AND(ISNUMBER(Calc_AgV!L6),NOT(ISNUMBER(Manual_AgV!L6))),"só calc",IF(AND(ISNUMBER(Manual_AgV!L6),NOT(ISNUMBER(Calc_AgV!L6))),"só manual","sem valor")))</f>
        <v>1</v>
      </c>
      <c r="M6" s="12">
        <f>IF(AND(ISNUMBER(Calc_AgV!M6),ISNUMBER(Manual_AgV!M6)),Calc_AgV!M6/Manual_AgV!M6,IF(AND(ISNUMBER(Calc_AgV!M6),NOT(ISNUMBER(Manual_AgV!M6))),"só calc",IF(AND(ISNUMBER(Manual_AgV!M6),NOT(ISNUMBER(Calc_AgV!M6))),"só manual","sem valor")))</f>
        <v>1</v>
      </c>
      <c r="N6" s="12">
        <f>IF(AND(ISNUMBER(Calc_AgV!N6),ISNUMBER(Manual_AgV!N6)),Calc_AgV!N6/Manual_AgV!N6,IF(AND(ISNUMBER(Calc_AgV!N6),NOT(ISNUMBER(Manual_AgV!N6))),"só calc",IF(AND(ISNUMBER(Manual_AgV!N6),NOT(ISNUMBER(Calc_AgV!N6))),"só manual","sem valor")))</f>
        <v>1</v>
      </c>
      <c r="O6" s="12">
        <f>IF(AND(ISNUMBER(Calc_AgV!O6),ISNUMBER(Manual_AgV!O6)),Calc_AgV!O6/Manual_AgV!O6,IF(AND(ISNUMBER(Calc_AgV!O6),NOT(ISNUMBER(Manual_AgV!O6))),"só calc",IF(AND(ISNUMBER(Manual_AgV!O6),NOT(ISNUMBER(Calc_AgV!O6))),"só manual","sem valor")))</f>
        <v>1</v>
      </c>
      <c r="P6" s="12">
        <f>IF(AND(ISNUMBER(Calc_AgV!P6),ISNUMBER(Manual_AgV!P6)),Calc_AgV!P6/Manual_AgV!P6,IF(AND(ISNUMBER(Calc_AgV!P6),NOT(ISNUMBER(Manual_AgV!P6))),"só calc",IF(AND(ISNUMBER(Manual_AgV!P6),NOT(ISNUMBER(Calc_AgV!P6))),"só manual","sem valor")))</f>
        <v>1</v>
      </c>
      <c r="Q6" s="12">
        <f>IF(AND(ISNUMBER(Calc_AgV!Q6),ISNUMBER(Manual_AgV!Q6)),Calc_AgV!Q6/Manual_AgV!Q6,IF(AND(ISNUMBER(Calc_AgV!Q6),NOT(ISNUMBER(Manual_AgV!Q6))),"só calc",IF(AND(ISNUMBER(Manual_AgV!Q6),NOT(ISNUMBER(Calc_AgV!Q6))),"só manual","sem valor")))</f>
        <v>1</v>
      </c>
      <c r="R6" s="12">
        <f>IF(AND(ISNUMBER(Calc_AgV!R6),ISNUMBER(Manual_AgV!R6)),Calc_AgV!R6/Manual_AgV!R6,IF(AND(ISNUMBER(Calc_AgV!R6),NOT(ISNUMBER(Manual_AgV!R6))),"só calc",IF(AND(ISNUMBER(Manual_AgV!R6),NOT(ISNUMBER(Calc_AgV!R6))),"só manual","sem valor")))</f>
        <v>1</v>
      </c>
      <c r="S6" s="12">
        <f>IF(AND(ISNUMBER(Calc_AgV!S6),ISNUMBER(Manual_AgV!S6)),Calc_AgV!S6/Manual_AgV!S6,IF(AND(ISNUMBER(Calc_AgV!S6),NOT(ISNUMBER(Manual_AgV!S6))),"só calc",IF(AND(ISNUMBER(Manual_AgV!S6),NOT(ISNUMBER(Calc_AgV!S6))),"só manual","sem valor")))</f>
        <v>1</v>
      </c>
      <c r="T6" s="12">
        <f>IF(AND(ISNUMBER(Calc_AgV!T6),ISNUMBER(Manual_AgV!T6)),Calc_AgV!T6/Manual_AgV!T6,IF(AND(ISNUMBER(Calc_AgV!T6),NOT(ISNUMBER(Manual_AgV!T6))),"só calc",IF(AND(ISNUMBER(Manual_AgV!T6),NOT(ISNUMBER(Calc_AgV!T6))),"só manual","sem valor")))</f>
        <v>1</v>
      </c>
      <c r="U6" s="12">
        <f>IF(AND(ISNUMBER(Calc_AgV!U6),ISNUMBER(Manual_AgV!U6)),Calc_AgV!U6/Manual_AgV!U6,IF(AND(ISNUMBER(Calc_AgV!U6),NOT(ISNUMBER(Manual_AgV!U6))),"só calc",IF(AND(ISNUMBER(Manual_AgV!U6),NOT(ISNUMBER(Calc_AgV!U6))),"só manual","sem valor")))</f>
        <v>1</v>
      </c>
      <c r="V6" s="12">
        <f>IF(AND(ISNUMBER(Calc_AgV!V6),ISNUMBER(Manual_AgV!V6)),Calc_AgV!V6/Manual_AgV!V6,IF(AND(ISNUMBER(Calc_AgV!V6),NOT(ISNUMBER(Manual_AgV!V6))),"só calc",IF(AND(ISNUMBER(Manual_AgV!V6),NOT(ISNUMBER(Calc_AgV!V6))),"só manual","sem valor")))</f>
        <v>1</v>
      </c>
      <c r="W6" s="12">
        <f>IF(AND(ISNUMBER(Calc_AgV!W6),ISNUMBER(Manual_AgV!W6)),Calc_AgV!W6/Manual_AgV!W6,IF(AND(ISNUMBER(Calc_AgV!W6),NOT(ISNUMBER(Manual_AgV!W6))),"só calc",IF(AND(ISNUMBER(Manual_AgV!W6),NOT(ISNUMBER(Calc_AgV!W6))),"só manual","sem valor")))</f>
        <v>1</v>
      </c>
      <c r="X6" s="12">
        <f>IF(AND(ISNUMBER(Calc_AgV!X6),ISNUMBER(Manual_AgV!X6)),Calc_AgV!X6/Manual_AgV!X6,IF(AND(ISNUMBER(Calc_AgV!X6),NOT(ISNUMBER(Manual_AgV!X6))),"só calc",IF(AND(ISNUMBER(Manual_AgV!X6),NOT(ISNUMBER(Calc_AgV!X6))),"só manual","sem valor")))</f>
        <v>1</v>
      </c>
      <c r="Y6" s="12">
        <f>IF(AND(ISNUMBER(Calc_AgV!Y6),ISNUMBER(Manual_AgV!Y6)),Calc_AgV!Y6/Manual_AgV!Y6,IF(AND(ISNUMBER(Calc_AgV!Y6),NOT(ISNUMBER(Manual_AgV!Y6))),"só calc",IF(AND(ISNUMBER(Manual_AgV!Y6),NOT(ISNUMBER(Calc_AgV!Y6))),"só manual","sem valor")))</f>
        <v>1</v>
      </c>
      <c r="Z6" s="12">
        <f>IF(AND(ISNUMBER(Calc_AgV!Z6),ISNUMBER(Manual_AgV!Z6)),Calc_AgV!Z6/Manual_AgV!Z6,IF(AND(ISNUMBER(Calc_AgV!Z6),NOT(ISNUMBER(Manual_AgV!Z6))),"só calc",IF(AND(ISNUMBER(Manual_AgV!Z6),NOT(ISNUMBER(Calc_AgV!Z6))),"só manual","sem valor")))</f>
        <v>1</v>
      </c>
    </row>
    <row r="7" spans="1:26" x14ac:dyDescent="0.25">
      <c r="A7" s="11" t="s">
        <v>50</v>
      </c>
      <c r="B7" s="11" t="str">
        <f>Calc_AgV!B7</f>
        <v>R2</v>
      </c>
      <c r="C7" s="12">
        <f>IF(AND(ISNUMBER(Calc_AgV!C7),ISNUMBER(Manual_AgV!C7)),Calc_AgV!C7/Manual_AgV!C7,IF(AND(ISNUMBER(Calc_AgV!C7),NOT(ISNUMBER(Manual_AgV!C7))),"só calc",IF(AND(ISNUMBER(Manual_AgV!C7),NOT(ISNUMBER(Calc_AgV!C7))),"só manual","sem valor")))</f>
        <v>1</v>
      </c>
      <c r="D7" s="12">
        <f>IF(AND(ISNUMBER(Calc_AgV!D7),ISNUMBER(Manual_AgV!D7)),Calc_AgV!D7/Manual_AgV!D7,IF(AND(ISNUMBER(Calc_AgV!D7),NOT(ISNUMBER(Manual_AgV!D7))),"só calc",IF(AND(ISNUMBER(Manual_AgV!D7),NOT(ISNUMBER(Calc_AgV!D7))),"só manual","sem valor")))</f>
        <v>1.0056396807463905</v>
      </c>
      <c r="E7" s="12">
        <f>IF(AND(ISNUMBER(Calc_AgV!E7),ISNUMBER(Manual_AgV!E7)),Calc_AgV!E7/Manual_AgV!E7,IF(AND(ISNUMBER(Calc_AgV!E7),NOT(ISNUMBER(Manual_AgV!E7))),"só calc",IF(AND(ISNUMBER(Manual_AgV!E7),NOT(ISNUMBER(Calc_AgV!E7))),"só manual","sem valor")))</f>
        <v>1</v>
      </c>
      <c r="F7" s="12">
        <f>IF(AND(ISNUMBER(Calc_AgV!F7),ISNUMBER(Manual_AgV!F7)),Calc_AgV!F7/Manual_AgV!F7,IF(AND(ISNUMBER(Calc_AgV!F7),NOT(ISNUMBER(Manual_AgV!F7))),"só calc",IF(AND(ISNUMBER(Manual_AgV!F7),NOT(ISNUMBER(Calc_AgV!F7))),"só manual","sem valor")))</f>
        <v>1.0019863608969777</v>
      </c>
      <c r="G7" s="12">
        <f>IF(AND(ISNUMBER(Calc_AgV!G7),ISNUMBER(Manual_AgV!G7)),Calc_AgV!G7/Manual_AgV!G7,IF(AND(ISNUMBER(Calc_AgV!G7),NOT(ISNUMBER(Manual_AgV!G7))),"só calc",IF(AND(ISNUMBER(Manual_AgV!G7),NOT(ISNUMBER(Calc_AgV!G7))),"só manual","sem valor")))</f>
        <v>1</v>
      </c>
      <c r="H7" s="12">
        <f>IF(AND(ISNUMBER(Calc_AgV!H7),ISNUMBER(Manual_AgV!H7)),Calc_AgV!H7/Manual_AgV!H7,IF(AND(ISNUMBER(Calc_AgV!H7),NOT(ISNUMBER(Manual_AgV!H7))),"só calc",IF(AND(ISNUMBER(Manual_AgV!H7),NOT(ISNUMBER(Calc_AgV!H7))),"só manual","sem valor")))</f>
        <v>0.99761913937871172</v>
      </c>
      <c r="I7" s="12">
        <f>IF(AND(ISNUMBER(Calc_AgV!I7),ISNUMBER(Manual_AgV!I7)),Calc_AgV!I7/Manual_AgV!I7,IF(AND(ISNUMBER(Calc_AgV!I7),NOT(ISNUMBER(Manual_AgV!I7))),"só calc",IF(AND(ISNUMBER(Manual_AgV!I7),NOT(ISNUMBER(Calc_AgV!I7))),"só manual","sem valor")))</f>
        <v>1</v>
      </c>
      <c r="J7" s="12">
        <f>IF(AND(ISNUMBER(Calc_AgV!J7),ISNUMBER(Manual_AgV!J7)),Calc_AgV!J7/Manual_AgV!J7,IF(AND(ISNUMBER(Calc_AgV!J7),NOT(ISNUMBER(Manual_AgV!J7))),"só calc",IF(AND(ISNUMBER(Manual_AgV!J7),NOT(ISNUMBER(Calc_AgV!J7))),"só manual","sem valor")))</f>
        <v>0.99992546440779262</v>
      </c>
      <c r="K7" s="12">
        <f>IF(AND(ISNUMBER(Calc_AgV!K7),ISNUMBER(Manual_AgV!K7)),Calc_AgV!K7/Manual_AgV!K7,IF(AND(ISNUMBER(Calc_AgV!K7),NOT(ISNUMBER(Manual_AgV!K7))),"só calc",IF(AND(ISNUMBER(Manual_AgV!K7),NOT(ISNUMBER(Calc_AgV!K7))),"só manual","sem valor")))</f>
        <v>1</v>
      </c>
      <c r="L7" s="12">
        <f>IF(AND(ISNUMBER(Calc_AgV!L7),ISNUMBER(Manual_AgV!L7)),Calc_AgV!L7/Manual_AgV!L7,IF(AND(ISNUMBER(Calc_AgV!L7),NOT(ISNUMBER(Manual_AgV!L7))),"só calc",IF(AND(ISNUMBER(Manual_AgV!L7),NOT(ISNUMBER(Calc_AgV!L7))),"só manual","sem valor")))</f>
        <v>1.0025849494358234</v>
      </c>
      <c r="M7" s="12">
        <f>IF(AND(ISNUMBER(Calc_AgV!M7),ISNUMBER(Manual_AgV!M7)),Calc_AgV!M7/Manual_AgV!M7,IF(AND(ISNUMBER(Calc_AgV!M7),NOT(ISNUMBER(Manual_AgV!M7))),"só calc",IF(AND(ISNUMBER(Manual_AgV!M7),NOT(ISNUMBER(Calc_AgV!M7))),"só manual","sem valor")))</f>
        <v>1</v>
      </c>
      <c r="N7" s="12">
        <f>IF(AND(ISNUMBER(Calc_AgV!N7),ISNUMBER(Manual_AgV!N7)),Calc_AgV!N7/Manual_AgV!N7,IF(AND(ISNUMBER(Calc_AgV!N7),NOT(ISNUMBER(Manual_AgV!N7))),"só calc",IF(AND(ISNUMBER(Manual_AgV!N7),NOT(ISNUMBER(Calc_AgV!N7))),"só manual","sem valor")))</f>
        <v>0.99996439386511926</v>
      </c>
      <c r="O7" s="12">
        <f>IF(AND(ISNUMBER(Calc_AgV!O7),ISNUMBER(Manual_AgV!O7)),Calc_AgV!O7/Manual_AgV!O7,IF(AND(ISNUMBER(Calc_AgV!O7),NOT(ISNUMBER(Manual_AgV!O7))),"só calc",IF(AND(ISNUMBER(Manual_AgV!O7),NOT(ISNUMBER(Calc_AgV!O7))),"só manual","sem valor")))</f>
        <v>1</v>
      </c>
      <c r="P7" s="12">
        <f>IF(AND(ISNUMBER(Calc_AgV!P7),ISNUMBER(Manual_AgV!P7)),Calc_AgV!P7/Manual_AgV!P7,IF(AND(ISNUMBER(Calc_AgV!P7),NOT(ISNUMBER(Manual_AgV!P7))),"só calc",IF(AND(ISNUMBER(Manual_AgV!P7),NOT(ISNUMBER(Calc_AgV!P7))),"só manual","sem valor")))</f>
        <v>1.0016079839520888</v>
      </c>
      <c r="Q7" s="12">
        <f>IF(AND(ISNUMBER(Calc_AgV!Q7),ISNUMBER(Manual_AgV!Q7)),Calc_AgV!Q7/Manual_AgV!Q7,IF(AND(ISNUMBER(Calc_AgV!Q7),NOT(ISNUMBER(Manual_AgV!Q7))),"só calc",IF(AND(ISNUMBER(Manual_AgV!Q7),NOT(ISNUMBER(Calc_AgV!Q7))),"só manual","sem valor")))</f>
        <v>1</v>
      </c>
      <c r="R7" s="12">
        <f>IF(AND(ISNUMBER(Calc_AgV!R7),ISNUMBER(Manual_AgV!R7)),Calc_AgV!R7/Manual_AgV!R7,IF(AND(ISNUMBER(Calc_AgV!R7),NOT(ISNUMBER(Manual_AgV!R7))),"só calc",IF(AND(ISNUMBER(Manual_AgV!R7),NOT(ISNUMBER(Calc_AgV!R7))),"só manual","sem valor")))</f>
        <v>0.99997913962156104</v>
      </c>
      <c r="S7" s="12">
        <f>IF(AND(ISNUMBER(Calc_AgV!S7),ISNUMBER(Manual_AgV!S7)),Calc_AgV!S7/Manual_AgV!S7,IF(AND(ISNUMBER(Calc_AgV!S7),NOT(ISNUMBER(Manual_AgV!S7))),"só calc",IF(AND(ISNUMBER(Manual_AgV!S7),NOT(ISNUMBER(Calc_AgV!S7))),"só manual","sem valor")))</f>
        <v>1</v>
      </c>
      <c r="T7" s="12">
        <f>IF(AND(ISNUMBER(Calc_AgV!T7),ISNUMBER(Manual_AgV!T7)),Calc_AgV!T7/Manual_AgV!T7,IF(AND(ISNUMBER(Calc_AgV!T7),NOT(ISNUMBER(Manual_AgV!T7))),"só calc",IF(AND(ISNUMBER(Manual_AgV!T7),NOT(ISNUMBER(Calc_AgV!T7))),"só manual","sem valor")))</f>
        <v>0.99952557503221606</v>
      </c>
      <c r="U7" s="12">
        <f>IF(AND(ISNUMBER(Calc_AgV!U7),ISNUMBER(Manual_AgV!U7)),Calc_AgV!U7/Manual_AgV!U7,IF(AND(ISNUMBER(Calc_AgV!U7),NOT(ISNUMBER(Manual_AgV!U7))),"só calc",IF(AND(ISNUMBER(Manual_AgV!U7),NOT(ISNUMBER(Calc_AgV!U7))),"só manual","sem valor")))</f>
        <v>1</v>
      </c>
      <c r="V7" s="12">
        <f>IF(AND(ISNUMBER(Calc_AgV!V7),ISNUMBER(Manual_AgV!V7)),Calc_AgV!V7/Manual_AgV!V7,IF(AND(ISNUMBER(Calc_AgV!V7),NOT(ISNUMBER(Manual_AgV!V7))),"só calc",IF(AND(ISNUMBER(Manual_AgV!V7),NOT(ISNUMBER(Calc_AgV!V7))),"só manual","sem valor")))</f>
        <v>1.0010412423574839</v>
      </c>
      <c r="W7" s="12">
        <f>IF(AND(ISNUMBER(Calc_AgV!W7),ISNUMBER(Manual_AgV!W7)),Calc_AgV!W7/Manual_AgV!W7,IF(AND(ISNUMBER(Calc_AgV!W7),NOT(ISNUMBER(Manual_AgV!W7))),"só calc",IF(AND(ISNUMBER(Manual_AgV!W7),NOT(ISNUMBER(Calc_AgV!W7))),"só manual","sem valor")))</f>
        <v>1</v>
      </c>
      <c r="X7" s="12">
        <f>IF(AND(ISNUMBER(Calc_AgV!X7),ISNUMBER(Manual_AgV!X7)),Calc_AgV!X7/Manual_AgV!X7,IF(AND(ISNUMBER(Calc_AgV!X7),NOT(ISNUMBER(Manual_AgV!X7))),"só calc",IF(AND(ISNUMBER(Manual_AgV!X7),NOT(ISNUMBER(Calc_AgV!X7))),"só manual","sem valor")))</f>
        <v>0.99948918211591964</v>
      </c>
      <c r="Y7" s="12">
        <f>IF(AND(ISNUMBER(Calc_AgV!Y7),ISNUMBER(Manual_AgV!Y7)),Calc_AgV!Y7/Manual_AgV!Y7,IF(AND(ISNUMBER(Calc_AgV!Y7),NOT(ISNUMBER(Manual_AgV!Y7))),"só calc",IF(AND(ISNUMBER(Manual_AgV!Y7),NOT(ISNUMBER(Calc_AgV!Y7))),"só manual","sem valor")))</f>
        <v>1</v>
      </c>
      <c r="Z7" s="12">
        <f>IF(AND(ISNUMBER(Calc_AgV!Z7),ISNUMBER(Manual_AgV!Z7)),Calc_AgV!Z7/Manual_AgV!Z7,IF(AND(ISNUMBER(Calc_AgV!Z7),NOT(ISNUMBER(Manual_AgV!Z7))),"só calc",IF(AND(ISNUMBER(Manual_AgV!Z7),NOT(ISNUMBER(Calc_AgV!Z7))),"só manual","sem valor")))</f>
        <v>1.0028826812870626</v>
      </c>
    </row>
    <row r="8" spans="1:26" x14ac:dyDescent="0.25">
      <c r="A8" s="11" t="s">
        <v>51</v>
      </c>
      <c r="B8" s="11" t="str">
        <f>Calc_AgV!B8</f>
        <v>R3</v>
      </c>
      <c r="C8" s="12">
        <f>IF(AND(ISNUMBER(Calc_AgV!C8),ISNUMBER(Manual_AgV!C8)),Calc_AgV!C8/Manual_AgV!C8,IF(AND(ISNUMBER(Calc_AgV!C8),NOT(ISNUMBER(Manual_AgV!C8))),"só calc",IF(AND(ISNUMBER(Manual_AgV!C8),NOT(ISNUMBER(Calc_AgV!C8))),"só manual","sem valor")))</f>
        <v>1</v>
      </c>
      <c r="D8" s="12">
        <f>IF(AND(ISNUMBER(Calc_AgV!D8),ISNUMBER(Manual_AgV!D8)),Calc_AgV!D8/Manual_AgV!D8,IF(AND(ISNUMBER(Calc_AgV!D8),NOT(ISNUMBER(Manual_AgV!D8))),"só calc",IF(AND(ISNUMBER(Manual_AgV!D8),NOT(ISNUMBER(Calc_AgV!D8))),"só manual","sem valor")))</f>
        <v>1.0077668485652729</v>
      </c>
      <c r="E8" s="12">
        <f>IF(AND(ISNUMBER(Calc_AgV!E8),ISNUMBER(Manual_AgV!E8)),Calc_AgV!E8/Manual_AgV!E8,IF(AND(ISNUMBER(Calc_AgV!E8),NOT(ISNUMBER(Manual_AgV!E8))),"só calc",IF(AND(ISNUMBER(Manual_AgV!E8),NOT(ISNUMBER(Calc_AgV!E8))),"só manual","sem valor")))</f>
        <v>1</v>
      </c>
      <c r="F8" s="12">
        <f>IF(AND(ISNUMBER(Calc_AgV!F8),ISNUMBER(Manual_AgV!F8)),Calc_AgV!F8/Manual_AgV!F8,IF(AND(ISNUMBER(Calc_AgV!F8),NOT(ISNUMBER(Manual_AgV!F8))),"só calc",IF(AND(ISNUMBER(Manual_AgV!F8),NOT(ISNUMBER(Calc_AgV!F8))),"só manual","sem valor")))</f>
        <v>1.0060987502641896</v>
      </c>
      <c r="G8" s="12">
        <f>IF(AND(ISNUMBER(Calc_AgV!G8),ISNUMBER(Manual_AgV!G8)),Calc_AgV!G8/Manual_AgV!G8,IF(AND(ISNUMBER(Calc_AgV!G8),NOT(ISNUMBER(Manual_AgV!G8))),"só calc",IF(AND(ISNUMBER(Manual_AgV!G8),NOT(ISNUMBER(Calc_AgV!G8))),"só manual","sem valor")))</f>
        <v>1</v>
      </c>
      <c r="H8" s="12">
        <f>IF(AND(ISNUMBER(Calc_AgV!H8),ISNUMBER(Manual_AgV!H8)),Calc_AgV!H8/Manual_AgV!H8,IF(AND(ISNUMBER(Calc_AgV!H8),NOT(ISNUMBER(Manual_AgV!H8))),"só calc",IF(AND(ISNUMBER(Manual_AgV!H8),NOT(ISNUMBER(Calc_AgV!H8))),"só manual","sem valor")))</f>
        <v>0.99998768733755461</v>
      </c>
      <c r="I8" s="12">
        <f>IF(AND(ISNUMBER(Calc_AgV!I8),ISNUMBER(Manual_AgV!I8)),Calc_AgV!I8/Manual_AgV!I8,IF(AND(ISNUMBER(Calc_AgV!I8),NOT(ISNUMBER(Manual_AgV!I8))),"só calc",IF(AND(ISNUMBER(Manual_AgV!I8),NOT(ISNUMBER(Calc_AgV!I8))),"só manual","sem valor")))</f>
        <v>1</v>
      </c>
      <c r="J8" s="12">
        <f>IF(AND(ISNUMBER(Calc_AgV!J8),ISNUMBER(Manual_AgV!J8)),Calc_AgV!J8/Manual_AgV!J8,IF(AND(ISNUMBER(Calc_AgV!J8),NOT(ISNUMBER(Manual_AgV!J8))),"só calc",IF(AND(ISNUMBER(Manual_AgV!J8),NOT(ISNUMBER(Calc_AgV!J8))),"só manual","sem valor")))</f>
        <v>0.99945636896964907</v>
      </c>
      <c r="K8" s="12">
        <f>IF(AND(ISNUMBER(Calc_AgV!K8),ISNUMBER(Manual_AgV!K8)),Calc_AgV!K8/Manual_AgV!K8,IF(AND(ISNUMBER(Calc_AgV!K8),NOT(ISNUMBER(Manual_AgV!K8))),"só calc",IF(AND(ISNUMBER(Manual_AgV!K8),NOT(ISNUMBER(Calc_AgV!K8))),"só manual","sem valor")))</f>
        <v>1</v>
      </c>
      <c r="L8" s="12">
        <f>IF(AND(ISNUMBER(Calc_AgV!L8),ISNUMBER(Manual_AgV!L8)),Calc_AgV!L8/Manual_AgV!L8,IF(AND(ISNUMBER(Calc_AgV!L8),NOT(ISNUMBER(Manual_AgV!L8))),"só calc",IF(AND(ISNUMBER(Manual_AgV!L8),NOT(ISNUMBER(Calc_AgV!L8))),"só manual","sem valor")))</f>
        <v>1.0002598374435852</v>
      </c>
      <c r="M8" s="12">
        <f>IF(AND(ISNUMBER(Calc_AgV!M8),ISNUMBER(Manual_AgV!M8)),Calc_AgV!M8/Manual_AgV!M8,IF(AND(ISNUMBER(Calc_AgV!M8),NOT(ISNUMBER(Manual_AgV!M8))),"só calc",IF(AND(ISNUMBER(Manual_AgV!M8),NOT(ISNUMBER(Calc_AgV!M8))),"só manual","sem valor")))</f>
        <v>1</v>
      </c>
      <c r="N8" s="12">
        <f>IF(AND(ISNUMBER(Calc_AgV!N8),ISNUMBER(Manual_AgV!N8)),Calc_AgV!N8/Manual_AgV!N8,IF(AND(ISNUMBER(Calc_AgV!N8),NOT(ISNUMBER(Manual_AgV!N8))),"só calc",IF(AND(ISNUMBER(Manual_AgV!N8),NOT(ISNUMBER(Calc_AgV!N8))),"só manual","sem valor")))</f>
        <v>0.99988621000312783</v>
      </c>
      <c r="O8" s="12">
        <f>IF(AND(ISNUMBER(Calc_AgV!O8),ISNUMBER(Manual_AgV!O8)),Calc_AgV!O8/Manual_AgV!O8,IF(AND(ISNUMBER(Calc_AgV!O8),NOT(ISNUMBER(Manual_AgV!O8))),"só calc",IF(AND(ISNUMBER(Manual_AgV!O8),NOT(ISNUMBER(Calc_AgV!O8))),"só manual","sem valor")))</f>
        <v>1</v>
      </c>
      <c r="P8" s="12">
        <f>IF(AND(ISNUMBER(Calc_AgV!P8),ISNUMBER(Manual_AgV!P8)),Calc_AgV!P8/Manual_AgV!P8,IF(AND(ISNUMBER(Calc_AgV!P8),NOT(ISNUMBER(Manual_AgV!P8))),"só calc",IF(AND(ISNUMBER(Manual_AgV!P8),NOT(ISNUMBER(Calc_AgV!P8))),"só manual","sem valor")))</f>
        <v>0.99913038092739015</v>
      </c>
      <c r="Q8" s="12">
        <f>IF(AND(ISNUMBER(Calc_AgV!Q8),ISNUMBER(Manual_AgV!Q8)),Calc_AgV!Q8/Manual_AgV!Q8,IF(AND(ISNUMBER(Calc_AgV!Q8),NOT(ISNUMBER(Manual_AgV!Q8))),"só calc",IF(AND(ISNUMBER(Manual_AgV!Q8),NOT(ISNUMBER(Calc_AgV!Q8))),"só manual","sem valor")))</f>
        <v>1</v>
      </c>
      <c r="R8" s="12">
        <f>IF(AND(ISNUMBER(Calc_AgV!R8),ISNUMBER(Manual_AgV!R8)),Calc_AgV!R8/Manual_AgV!R8,IF(AND(ISNUMBER(Calc_AgV!R8),NOT(ISNUMBER(Manual_AgV!R8))),"só calc",IF(AND(ISNUMBER(Manual_AgV!R8),NOT(ISNUMBER(Calc_AgV!R8))),"só manual","sem valor")))</f>
        <v>0.99998289945367602</v>
      </c>
      <c r="S8" s="12">
        <f>IF(AND(ISNUMBER(Calc_AgV!S8),ISNUMBER(Manual_AgV!S8)),Calc_AgV!S8/Manual_AgV!S8,IF(AND(ISNUMBER(Calc_AgV!S8),NOT(ISNUMBER(Manual_AgV!S8))),"só calc",IF(AND(ISNUMBER(Manual_AgV!S8),NOT(ISNUMBER(Calc_AgV!S8))),"só manual","sem valor")))</f>
        <v>1</v>
      </c>
      <c r="T8" s="12">
        <f>IF(AND(ISNUMBER(Calc_AgV!T8),ISNUMBER(Manual_AgV!T8)),Calc_AgV!T8/Manual_AgV!T8,IF(AND(ISNUMBER(Calc_AgV!T8),NOT(ISNUMBER(Manual_AgV!T8))),"só calc",IF(AND(ISNUMBER(Manual_AgV!T8),NOT(ISNUMBER(Calc_AgV!T8))),"só manual","sem valor")))</f>
        <v>1.0013199247597917</v>
      </c>
      <c r="U8" s="12">
        <f>IF(AND(ISNUMBER(Calc_AgV!U8),ISNUMBER(Manual_AgV!U8)),Calc_AgV!U8/Manual_AgV!U8,IF(AND(ISNUMBER(Calc_AgV!U8),NOT(ISNUMBER(Manual_AgV!U8))),"só calc",IF(AND(ISNUMBER(Manual_AgV!U8),NOT(ISNUMBER(Calc_AgV!U8))),"só manual","sem valor")))</f>
        <v>1</v>
      </c>
      <c r="V8" s="12">
        <f>IF(AND(ISNUMBER(Calc_AgV!V8),ISNUMBER(Manual_AgV!V8)),Calc_AgV!V8/Manual_AgV!V8,IF(AND(ISNUMBER(Calc_AgV!V8),NOT(ISNUMBER(Manual_AgV!V8))),"só calc",IF(AND(ISNUMBER(Manual_AgV!V8),NOT(ISNUMBER(Calc_AgV!V8))),"só manual","sem valor")))</f>
        <v>1.0015670637307963</v>
      </c>
      <c r="W8" s="12">
        <f>IF(AND(ISNUMBER(Calc_AgV!W8),ISNUMBER(Manual_AgV!W8)),Calc_AgV!W8/Manual_AgV!W8,IF(AND(ISNUMBER(Calc_AgV!W8),NOT(ISNUMBER(Manual_AgV!W8))),"só calc",IF(AND(ISNUMBER(Manual_AgV!W8),NOT(ISNUMBER(Calc_AgV!W8))),"só manual","sem valor")))</f>
        <v>1</v>
      </c>
      <c r="X8" s="12">
        <f>IF(AND(ISNUMBER(Calc_AgV!X8),ISNUMBER(Manual_AgV!X8)),Calc_AgV!X8/Manual_AgV!X8,IF(AND(ISNUMBER(Calc_AgV!X8),NOT(ISNUMBER(Manual_AgV!X8))),"só calc",IF(AND(ISNUMBER(Manual_AgV!X8),NOT(ISNUMBER(Calc_AgV!X8))),"só manual","sem valor")))</f>
        <v>1.0009708371697366</v>
      </c>
      <c r="Y8" s="12" t="str">
        <f>IF(AND(ISNUMBER(Calc_AgV!Y8),ISNUMBER(Manual_AgV!Y8)),Calc_AgV!Y8/Manual_AgV!Y8,IF(AND(ISNUMBER(Calc_AgV!Y8),NOT(ISNUMBER(Manual_AgV!Y8))),"só calc",IF(AND(ISNUMBER(Manual_AgV!Y8),NOT(ISNUMBER(Calc_AgV!Y8))),"só manual","sem valor")))</f>
        <v>sem valor</v>
      </c>
      <c r="Z8" s="12" t="str">
        <f>IF(AND(ISNUMBER(Calc_AgV!Z8),ISNUMBER(Manual_AgV!Z8)),Calc_AgV!Z8/Manual_AgV!Z8,IF(AND(ISNUMBER(Calc_AgV!Z8),NOT(ISNUMBER(Manual_AgV!Z8))),"só calc",IF(AND(ISNUMBER(Manual_AgV!Z8),NOT(ISNUMBER(Calc_AgV!Z8))),"só manual","sem valor")))</f>
        <v>sem valor</v>
      </c>
    </row>
    <row r="9" spans="1:26" x14ac:dyDescent="0.25">
      <c r="A9" s="11" t="s">
        <v>52</v>
      </c>
      <c r="B9" s="11" t="str">
        <f>Calc_AgV!B9</f>
        <v>R4</v>
      </c>
      <c r="C9" s="12">
        <f>IF(AND(ISNUMBER(Calc_AgV!C9),ISNUMBER(Manual_AgV!C9)),Calc_AgV!C9/Manual_AgV!C9,IF(AND(ISNUMBER(Calc_AgV!C9),NOT(ISNUMBER(Manual_AgV!C9))),"só calc",IF(AND(ISNUMBER(Manual_AgV!C9),NOT(ISNUMBER(Calc_AgV!C9))),"só manual","sem valor")))</f>
        <v>1</v>
      </c>
      <c r="D9" s="12">
        <f>IF(AND(ISNUMBER(Calc_AgV!D9),ISNUMBER(Manual_AgV!D9)),Calc_AgV!D9/Manual_AgV!D9,IF(AND(ISNUMBER(Calc_AgV!D9),NOT(ISNUMBER(Manual_AgV!D9))),"só calc",IF(AND(ISNUMBER(Manual_AgV!D9),NOT(ISNUMBER(Calc_AgV!D9))),"só manual","sem valor")))</f>
        <v>1.008343770436718</v>
      </c>
      <c r="E9" s="12">
        <f>IF(AND(ISNUMBER(Calc_AgV!E9),ISNUMBER(Manual_AgV!E9)),Calc_AgV!E9/Manual_AgV!E9,IF(AND(ISNUMBER(Calc_AgV!E9),NOT(ISNUMBER(Manual_AgV!E9))),"só calc",IF(AND(ISNUMBER(Manual_AgV!E9),NOT(ISNUMBER(Calc_AgV!E9))),"só manual","sem valor")))</f>
        <v>1</v>
      </c>
      <c r="F9" s="12">
        <f>IF(AND(ISNUMBER(Calc_AgV!F9),ISNUMBER(Manual_AgV!F9)),Calc_AgV!F9/Manual_AgV!F9,IF(AND(ISNUMBER(Calc_AgV!F9),NOT(ISNUMBER(Manual_AgV!F9))),"só calc",IF(AND(ISNUMBER(Manual_AgV!F9),NOT(ISNUMBER(Calc_AgV!F9))),"só manual","sem valor")))</f>
        <v>0.99690541671478505</v>
      </c>
      <c r="G9" s="12">
        <f>IF(AND(ISNUMBER(Calc_AgV!G9),ISNUMBER(Manual_AgV!G9)),Calc_AgV!G9/Manual_AgV!G9,IF(AND(ISNUMBER(Calc_AgV!G9),NOT(ISNUMBER(Manual_AgV!G9))),"só calc",IF(AND(ISNUMBER(Manual_AgV!G9),NOT(ISNUMBER(Calc_AgV!G9))),"só manual","sem valor")))</f>
        <v>1</v>
      </c>
      <c r="H9" s="12">
        <f>IF(AND(ISNUMBER(Calc_AgV!H9),ISNUMBER(Manual_AgV!H9)),Calc_AgV!H9/Manual_AgV!H9,IF(AND(ISNUMBER(Calc_AgV!H9),NOT(ISNUMBER(Manual_AgV!H9))),"só calc",IF(AND(ISNUMBER(Manual_AgV!H9),NOT(ISNUMBER(Calc_AgV!H9))),"só manual","sem valor")))</f>
        <v>1.0054283587926076</v>
      </c>
      <c r="I9" s="12">
        <f>IF(AND(ISNUMBER(Calc_AgV!I9),ISNUMBER(Manual_AgV!I9)),Calc_AgV!I9/Manual_AgV!I9,IF(AND(ISNUMBER(Calc_AgV!I9),NOT(ISNUMBER(Manual_AgV!I9))),"só calc",IF(AND(ISNUMBER(Manual_AgV!I9),NOT(ISNUMBER(Calc_AgV!I9))),"só manual","sem valor")))</f>
        <v>1</v>
      </c>
      <c r="J9" s="12">
        <f>IF(AND(ISNUMBER(Calc_AgV!J9),ISNUMBER(Manual_AgV!J9)),Calc_AgV!J9/Manual_AgV!J9,IF(AND(ISNUMBER(Calc_AgV!J9),NOT(ISNUMBER(Manual_AgV!J9))),"só calc",IF(AND(ISNUMBER(Manual_AgV!J9),NOT(ISNUMBER(Calc_AgV!J9))),"só manual","sem valor")))</f>
        <v>1.000048231784795</v>
      </c>
      <c r="K9" s="12">
        <f>IF(AND(ISNUMBER(Calc_AgV!K9),ISNUMBER(Manual_AgV!K9)),Calc_AgV!K9/Manual_AgV!K9,IF(AND(ISNUMBER(Calc_AgV!K9),NOT(ISNUMBER(Manual_AgV!K9))),"só calc",IF(AND(ISNUMBER(Manual_AgV!K9),NOT(ISNUMBER(Calc_AgV!K9))),"só manual","sem valor")))</f>
        <v>1</v>
      </c>
      <c r="L9" s="12">
        <f>IF(AND(ISNUMBER(Calc_AgV!L9),ISNUMBER(Manual_AgV!L9)),Calc_AgV!L9/Manual_AgV!L9,IF(AND(ISNUMBER(Calc_AgV!L9),NOT(ISNUMBER(Manual_AgV!L9))),"só calc",IF(AND(ISNUMBER(Manual_AgV!L9),NOT(ISNUMBER(Calc_AgV!L9))),"só manual","sem valor")))</f>
        <v>1.0003522480109215</v>
      </c>
      <c r="M9" s="12">
        <f>IF(AND(ISNUMBER(Calc_AgV!M9),ISNUMBER(Manual_AgV!M9)),Calc_AgV!M9/Manual_AgV!M9,IF(AND(ISNUMBER(Calc_AgV!M9),NOT(ISNUMBER(Manual_AgV!M9))),"só calc",IF(AND(ISNUMBER(Manual_AgV!M9),NOT(ISNUMBER(Calc_AgV!M9))),"só manual","sem valor")))</f>
        <v>1</v>
      </c>
      <c r="N9" s="12">
        <f>IF(AND(ISNUMBER(Calc_AgV!N9),ISNUMBER(Manual_AgV!N9)),Calc_AgV!N9/Manual_AgV!N9,IF(AND(ISNUMBER(Calc_AgV!N9),NOT(ISNUMBER(Manual_AgV!N9))),"só calc",IF(AND(ISNUMBER(Manual_AgV!N9),NOT(ISNUMBER(Calc_AgV!N9))),"só manual","sem valor")))</f>
        <v>0.99936698970270688</v>
      </c>
      <c r="O9" s="12">
        <f>IF(AND(ISNUMBER(Calc_AgV!O9),ISNUMBER(Manual_AgV!O9)),Calc_AgV!O9/Manual_AgV!O9,IF(AND(ISNUMBER(Calc_AgV!O9),NOT(ISNUMBER(Manual_AgV!O9))),"só calc",IF(AND(ISNUMBER(Manual_AgV!O9),NOT(ISNUMBER(Calc_AgV!O9))),"só manual","sem valor")))</f>
        <v>1</v>
      </c>
      <c r="P9" s="12">
        <f>IF(AND(ISNUMBER(Calc_AgV!P9),ISNUMBER(Manual_AgV!P9)),Calc_AgV!P9/Manual_AgV!P9,IF(AND(ISNUMBER(Calc_AgV!P9),NOT(ISNUMBER(Manual_AgV!P9))),"só calc",IF(AND(ISNUMBER(Manual_AgV!P9),NOT(ISNUMBER(Calc_AgV!P9))),"só manual","sem valor")))</f>
        <v>1.0007224591120885</v>
      </c>
      <c r="Q9" s="12">
        <f>IF(AND(ISNUMBER(Calc_AgV!Q9),ISNUMBER(Manual_AgV!Q9)),Calc_AgV!Q9/Manual_AgV!Q9,IF(AND(ISNUMBER(Calc_AgV!Q9),NOT(ISNUMBER(Manual_AgV!Q9))),"só calc",IF(AND(ISNUMBER(Manual_AgV!Q9),NOT(ISNUMBER(Calc_AgV!Q9))),"só manual","sem valor")))</f>
        <v>1</v>
      </c>
      <c r="R9" s="12">
        <f>IF(AND(ISNUMBER(Calc_AgV!R9),ISNUMBER(Manual_AgV!R9)),Calc_AgV!R9/Manual_AgV!R9,IF(AND(ISNUMBER(Calc_AgV!R9),NOT(ISNUMBER(Manual_AgV!R9))),"só calc",IF(AND(ISNUMBER(Manual_AgV!R9),NOT(ISNUMBER(Calc_AgV!R9))),"só manual","sem valor")))</f>
        <v>1.0000282978277306</v>
      </c>
      <c r="S9" s="12">
        <f>IF(AND(ISNUMBER(Calc_AgV!S9),ISNUMBER(Manual_AgV!S9)),Calc_AgV!S9/Manual_AgV!S9,IF(AND(ISNUMBER(Calc_AgV!S9),NOT(ISNUMBER(Manual_AgV!S9))),"só calc",IF(AND(ISNUMBER(Manual_AgV!S9),NOT(ISNUMBER(Calc_AgV!S9))),"só manual","sem valor")))</f>
        <v>1</v>
      </c>
      <c r="T9" s="12">
        <f>IF(AND(ISNUMBER(Calc_AgV!T9),ISNUMBER(Manual_AgV!T9)),Calc_AgV!T9/Manual_AgV!T9,IF(AND(ISNUMBER(Calc_AgV!T9),NOT(ISNUMBER(Manual_AgV!T9))),"só calc",IF(AND(ISNUMBER(Manual_AgV!T9),NOT(ISNUMBER(Calc_AgV!T9))),"só manual","sem valor")))</f>
        <v>0.99859853283316424</v>
      </c>
      <c r="U9" s="12">
        <f>IF(AND(ISNUMBER(Calc_AgV!U9),ISNUMBER(Manual_AgV!U9)),Calc_AgV!U9/Manual_AgV!U9,IF(AND(ISNUMBER(Calc_AgV!U9),NOT(ISNUMBER(Manual_AgV!U9))),"só calc",IF(AND(ISNUMBER(Manual_AgV!U9),NOT(ISNUMBER(Calc_AgV!U9))),"só manual","sem valor")))</f>
        <v>1</v>
      </c>
      <c r="V9" s="12">
        <f>IF(AND(ISNUMBER(Calc_AgV!V9),ISNUMBER(Manual_AgV!V9)),Calc_AgV!V9/Manual_AgV!V9,IF(AND(ISNUMBER(Calc_AgV!V9),NOT(ISNUMBER(Manual_AgV!V9))),"só calc",IF(AND(ISNUMBER(Manual_AgV!V9),NOT(ISNUMBER(Calc_AgV!V9))),"só manual","sem valor")))</f>
        <v>1.0002180824774827</v>
      </c>
      <c r="W9" s="12">
        <f>IF(AND(ISNUMBER(Calc_AgV!W9),ISNUMBER(Manual_AgV!W9)),Calc_AgV!W9/Manual_AgV!W9,IF(AND(ISNUMBER(Calc_AgV!W9),NOT(ISNUMBER(Manual_AgV!W9))),"só calc",IF(AND(ISNUMBER(Manual_AgV!W9),NOT(ISNUMBER(Calc_AgV!W9))),"só manual","sem valor")))</f>
        <v>1</v>
      </c>
      <c r="X9" s="12">
        <f>IF(AND(ISNUMBER(Calc_AgV!X9),ISNUMBER(Manual_AgV!X9)),Calc_AgV!X9/Manual_AgV!X9,IF(AND(ISNUMBER(Calc_AgV!X9),NOT(ISNUMBER(Manual_AgV!X9))),"só calc",IF(AND(ISNUMBER(Manual_AgV!X9),NOT(ISNUMBER(Calc_AgV!X9))),"só manual","sem valor")))</f>
        <v>0.99823657202669036</v>
      </c>
      <c r="Y9" s="12">
        <f>IF(AND(ISNUMBER(Calc_AgV!Y9),ISNUMBER(Manual_AgV!Y9)),Calc_AgV!Y9/Manual_AgV!Y9,IF(AND(ISNUMBER(Calc_AgV!Y9),NOT(ISNUMBER(Manual_AgV!Y9))),"só calc",IF(AND(ISNUMBER(Manual_AgV!Y9),NOT(ISNUMBER(Calc_AgV!Y9))),"só manual","sem valor")))</f>
        <v>1</v>
      </c>
      <c r="Z9" s="12">
        <f>IF(AND(ISNUMBER(Calc_AgV!Z9),ISNUMBER(Manual_AgV!Z9)),Calc_AgV!Z9/Manual_AgV!Z9,IF(AND(ISNUMBER(Calc_AgV!Z9),NOT(ISNUMBER(Manual_AgV!Z9))),"só calc",IF(AND(ISNUMBER(Manual_AgV!Z9),NOT(ISNUMBER(Calc_AgV!Z9))),"só manual","sem valor")))</f>
        <v>0.99905914788403372</v>
      </c>
    </row>
    <row r="10" spans="1:26" x14ac:dyDescent="0.25">
      <c r="A10" s="11" t="s">
        <v>53</v>
      </c>
      <c r="B10" s="11" t="str">
        <f>Calc_AgV!B10</f>
        <v>R5</v>
      </c>
      <c r="C10" s="12">
        <f>IF(AND(ISNUMBER(Calc_AgV!C10),ISNUMBER(Manual_AgV!C10)),Calc_AgV!C10/Manual_AgV!C10,IF(AND(ISNUMBER(Calc_AgV!C10),NOT(ISNUMBER(Manual_AgV!C10))),"só calc",IF(AND(ISNUMBER(Manual_AgV!C10),NOT(ISNUMBER(Calc_AgV!C10))),"só manual","sem valor")))</f>
        <v>1</v>
      </c>
      <c r="D10" s="12">
        <f>IF(AND(ISNUMBER(Calc_AgV!D10),ISNUMBER(Manual_AgV!D10)),Calc_AgV!D10/Manual_AgV!D10,IF(AND(ISNUMBER(Calc_AgV!D10),NOT(ISNUMBER(Manual_AgV!D10))),"só calc",IF(AND(ISNUMBER(Manual_AgV!D10),NOT(ISNUMBER(Calc_AgV!D10))),"só manual","sem valor")))</f>
        <v>1.0051710058342318</v>
      </c>
      <c r="E10" s="12">
        <f>IF(AND(ISNUMBER(Calc_AgV!E10),ISNUMBER(Manual_AgV!E10)),Calc_AgV!E10/Manual_AgV!E10,IF(AND(ISNUMBER(Calc_AgV!E10),NOT(ISNUMBER(Manual_AgV!E10))),"só calc",IF(AND(ISNUMBER(Manual_AgV!E10),NOT(ISNUMBER(Calc_AgV!E10))),"só manual","sem valor")))</f>
        <v>1</v>
      </c>
      <c r="F10" s="12">
        <f>IF(AND(ISNUMBER(Calc_AgV!F10),ISNUMBER(Manual_AgV!F10)),Calc_AgV!F10/Manual_AgV!F10,IF(AND(ISNUMBER(Calc_AgV!F10),NOT(ISNUMBER(Manual_AgV!F10))),"só calc",IF(AND(ISNUMBER(Manual_AgV!F10),NOT(ISNUMBER(Calc_AgV!F10))),"só manual","sem valor")))</f>
        <v>1.0012270796882159</v>
      </c>
      <c r="G10" s="12">
        <f>IF(AND(ISNUMBER(Calc_AgV!G10),ISNUMBER(Manual_AgV!G10)),Calc_AgV!G10/Manual_AgV!G10,IF(AND(ISNUMBER(Calc_AgV!G10),NOT(ISNUMBER(Manual_AgV!G10))),"só calc",IF(AND(ISNUMBER(Manual_AgV!G10),NOT(ISNUMBER(Calc_AgV!G10))),"só manual","sem valor")))</f>
        <v>1</v>
      </c>
      <c r="H10" s="12">
        <f>IF(AND(ISNUMBER(Calc_AgV!H10),ISNUMBER(Manual_AgV!H10)),Calc_AgV!H10/Manual_AgV!H10,IF(AND(ISNUMBER(Calc_AgV!H10),NOT(ISNUMBER(Manual_AgV!H10))),"só calc",IF(AND(ISNUMBER(Manual_AgV!H10),NOT(ISNUMBER(Calc_AgV!H10))),"só manual","sem valor")))</f>
        <v>0.99943529019069388</v>
      </c>
      <c r="I10" s="12">
        <f>IF(AND(ISNUMBER(Calc_AgV!I10),ISNUMBER(Manual_AgV!I10)),Calc_AgV!I10/Manual_AgV!I10,IF(AND(ISNUMBER(Calc_AgV!I10),NOT(ISNUMBER(Manual_AgV!I10))),"só calc",IF(AND(ISNUMBER(Manual_AgV!I10),NOT(ISNUMBER(Calc_AgV!I10))),"só manual","sem valor")))</f>
        <v>1</v>
      </c>
      <c r="J10" s="12">
        <f>IF(AND(ISNUMBER(Calc_AgV!J10),ISNUMBER(Manual_AgV!J10)),Calc_AgV!J10/Manual_AgV!J10,IF(AND(ISNUMBER(Calc_AgV!J10),NOT(ISNUMBER(Manual_AgV!J10))),"só calc",IF(AND(ISNUMBER(Manual_AgV!J10),NOT(ISNUMBER(Calc_AgV!J10))),"só manual","sem valor")))</f>
        <v>1.0002600285618597</v>
      </c>
      <c r="K10" s="12">
        <f>IF(AND(ISNUMBER(Calc_AgV!K10),ISNUMBER(Manual_AgV!K10)),Calc_AgV!K10/Manual_AgV!K10,IF(AND(ISNUMBER(Calc_AgV!K10),NOT(ISNUMBER(Manual_AgV!K10))),"só calc",IF(AND(ISNUMBER(Manual_AgV!K10),NOT(ISNUMBER(Calc_AgV!K10))),"só manual","sem valor")))</f>
        <v>1</v>
      </c>
      <c r="L10" s="12">
        <f>IF(AND(ISNUMBER(Calc_AgV!L10),ISNUMBER(Manual_AgV!L10)),Calc_AgV!L10/Manual_AgV!L10,IF(AND(ISNUMBER(Calc_AgV!L10),NOT(ISNUMBER(Manual_AgV!L10))),"só calc",IF(AND(ISNUMBER(Manual_AgV!L10),NOT(ISNUMBER(Calc_AgV!L10))),"só manual","sem valor")))</f>
        <v>1.0002702702032333</v>
      </c>
      <c r="M10" s="12">
        <f>IF(AND(ISNUMBER(Calc_AgV!M10),ISNUMBER(Manual_AgV!M10)),Calc_AgV!M10/Manual_AgV!M10,IF(AND(ISNUMBER(Calc_AgV!M10),NOT(ISNUMBER(Manual_AgV!M10))),"só calc",IF(AND(ISNUMBER(Manual_AgV!M10),NOT(ISNUMBER(Calc_AgV!M10))),"só manual","sem valor")))</f>
        <v>1</v>
      </c>
      <c r="N10" s="12">
        <f>IF(AND(ISNUMBER(Calc_AgV!N10),ISNUMBER(Manual_AgV!N10)),Calc_AgV!N10/Manual_AgV!N10,IF(AND(ISNUMBER(Calc_AgV!N10),NOT(ISNUMBER(Manual_AgV!N10))),"só calc",IF(AND(ISNUMBER(Manual_AgV!N10),NOT(ISNUMBER(Calc_AgV!N10))),"só manual","sem valor")))</f>
        <v>0.9998581469003055</v>
      </c>
      <c r="O10" s="12">
        <f>IF(AND(ISNUMBER(Calc_AgV!O10),ISNUMBER(Manual_AgV!O10)),Calc_AgV!O10/Manual_AgV!O10,IF(AND(ISNUMBER(Calc_AgV!O10),NOT(ISNUMBER(Manual_AgV!O10))),"só calc",IF(AND(ISNUMBER(Manual_AgV!O10),NOT(ISNUMBER(Calc_AgV!O10))),"só manual","sem valor")))</f>
        <v>1</v>
      </c>
      <c r="P10" s="12">
        <f>IF(AND(ISNUMBER(Calc_AgV!P10),ISNUMBER(Manual_AgV!P10)),Calc_AgV!P10/Manual_AgV!P10,IF(AND(ISNUMBER(Calc_AgV!P10),NOT(ISNUMBER(Manual_AgV!P10))),"só calc",IF(AND(ISNUMBER(Manual_AgV!P10),NOT(ISNUMBER(Calc_AgV!P10))),"só manual","sem valor")))</f>
        <v>0.99970768277529953</v>
      </c>
      <c r="Q10" s="12">
        <f>IF(AND(ISNUMBER(Calc_AgV!Q10),ISNUMBER(Manual_AgV!Q10)),Calc_AgV!Q10/Manual_AgV!Q10,IF(AND(ISNUMBER(Calc_AgV!Q10),NOT(ISNUMBER(Manual_AgV!Q10))),"só calc",IF(AND(ISNUMBER(Manual_AgV!Q10),NOT(ISNUMBER(Calc_AgV!Q10))),"só manual","sem valor")))</f>
        <v>1</v>
      </c>
      <c r="R10" s="12">
        <f>IF(AND(ISNUMBER(Calc_AgV!R10),ISNUMBER(Manual_AgV!R10)),Calc_AgV!R10/Manual_AgV!R10,IF(AND(ISNUMBER(Calc_AgV!R10),NOT(ISNUMBER(Manual_AgV!R10))),"só calc",IF(AND(ISNUMBER(Manual_AgV!R10),NOT(ISNUMBER(Calc_AgV!R10))),"só manual","sem valor")))</f>
        <v>1.0000094770737371</v>
      </c>
      <c r="S10" s="12">
        <f>IF(AND(ISNUMBER(Calc_AgV!S10),ISNUMBER(Manual_AgV!S10)),Calc_AgV!S10/Manual_AgV!S10,IF(AND(ISNUMBER(Calc_AgV!S10),NOT(ISNUMBER(Manual_AgV!S10))),"só calc",IF(AND(ISNUMBER(Manual_AgV!S10),NOT(ISNUMBER(Calc_AgV!S10))),"só manual","sem valor")))</f>
        <v>1</v>
      </c>
      <c r="T10" s="12">
        <f>IF(AND(ISNUMBER(Calc_AgV!T10),ISNUMBER(Manual_AgV!T10)),Calc_AgV!T10/Manual_AgV!T10,IF(AND(ISNUMBER(Calc_AgV!T10),NOT(ISNUMBER(Manual_AgV!T10))),"só calc",IF(AND(ISNUMBER(Manual_AgV!T10),NOT(ISNUMBER(Calc_AgV!T10))),"só manual","sem valor")))</f>
        <v>0.99953595554107333</v>
      </c>
      <c r="U10" s="12">
        <f>IF(AND(ISNUMBER(Calc_AgV!U10),ISNUMBER(Manual_AgV!U10)),Calc_AgV!U10/Manual_AgV!U10,IF(AND(ISNUMBER(Calc_AgV!U10),NOT(ISNUMBER(Manual_AgV!U10))),"só calc",IF(AND(ISNUMBER(Manual_AgV!U10),NOT(ISNUMBER(Calc_AgV!U10))),"só manual","sem valor")))</f>
        <v>1</v>
      </c>
      <c r="V10" s="12">
        <f>IF(AND(ISNUMBER(Calc_AgV!V10),ISNUMBER(Manual_AgV!V10)),Calc_AgV!V10/Manual_AgV!V10,IF(AND(ISNUMBER(Calc_AgV!V10),NOT(ISNUMBER(Manual_AgV!V10))),"só calc",IF(AND(ISNUMBER(Manual_AgV!V10),NOT(ISNUMBER(Calc_AgV!V10))),"só manual","sem valor")))</f>
        <v>1.0014816016680306</v>
      </c>
      <c r="W10" s="12">
        <f>IF(AND(ISNUMBER(Calc_AgV!W10),ISNUMBER(Manual_AgV!W10)),Calc_AgV!W10/Manual_AgV!W10,IF(AND(ISNUMBER(Calc_AgV!W10),NOT(ISNUMBER(Manual_AgV!W10))),"só calc",IF(AND(ISNUMBER(Manual_AgV!W10),NOT(ISNUMBER(Calc_AgV!W10))),"só manual","sem valor")))</f>
        <v>1</v>
      </c>
      <c r="X10" s="12">
        <f>IF(AND(ISNUMBER(Calc_AgV!X10),ISNUMBER(Manual_AgV!X10)),Calc_AgV!X10/Manual_AgV!X10,IF(AND(ISNUMBER(Calc_AgV!X10),NOT(ISNUMBER(Manual_AgV!X10))),"só calc",IF(AND(ISNUMBER(Manual_AgV!X10),NOT(ISNUMBER(Calc_AgV!X10))),"só manual","sem valor")))</f>
        <v>1.0008907885171137</v>
      </c>
      <c r="Y10" s="12">
        <f>IF(AND(ISNUMBER(Calc_AgV!Y10),ISNUMBER(Manual_AgV!Y10)),Calc_AgV!Y10/Manual_AgV!Y10,IF(AND(ISNUMBER(Calc_AgV!Y10),NOT(ISNUMBER(Manual_AgV!Y10))),"só calc",IF(AND(ISNUMBER(Manual_AgV!Y10),NOT(ISNUMBER(Calc_AgV!Y10))),"só manual","sem valor")))</f>
        <v>1</v>
      </c>
      <c r="Z10" s="12">
        <f>IF(AND(ISNUMBER(Calc_AgV!Z10),ISNUMBER(Manual_AgV!Z10)),Calc_AgV!Z10/Manual_AgV!Z10,IF(AND(ISNUMBER(Calc_AgV!Z10),NOT(ISNUMBER(Manual_AgV!Z10))),"só calc",IF(AND(ISNUMBER(Manual_AgV!Z10),NOT(ISNUMBER(Calc_AgV!Z10))),"só manual","sem valor")))</f>
        <v>0.99840368286838421</v>
      </c>
    </row>
    <row r="11" spans="1:26" x14ac:dyDescent="0.25">
      <c r="A11" s="11" t="s">
        <v>54</v>
      </c>
      <c r="B11" s="11" t="str">
        <f>Calc_AgV!B11</f>
        <v>R6</v>
      </c>
      <c r="C11" s="12">
        <f>IF(AND(ISNUMBER(Calc_AgV!C11),ISNUMBER(Manual_AgV!C11)),Calc_AgV!C11/Manual_AgV!C11,IF(AND(ISNUMBER(Calc_AgV!C11),NOT(ISNUMBER(Manual_AgV!C11))),"só calc",IF(AND(ISNUMBER(Manual_AgV!C11),NOT(ISNUMBER(Calc_AgV!C11))),"só manual","sem valor")))</f>
        <v>1</v>
      </c>
      <c r="D11" s="12">
        <f>IF(AND(ISNUMBER(Calc_AgV!D11),ISNUMBER(Manual_AgV!D11)),Calc_AgV!D11/Manual_AgV!D11,IF(AND(ISNUMBER(Calc_AgV!D11),NOT(ISNUMBER(Manual_AgV!D11))),"só calc",IF(AND(ISNUMBER(Manual_AgV!D11),NOT(ISNUMBER(Calc_AgV!D11))),"só manual","sem valor")))</f>
        <v>1.0091627408929356</v>
      </c>
      <c r="E11" s="12">
        <f>IF(AND(ISNUMBER(Calc_AgV!E11),ISNUMBER(Manual_AgV!E11)),Calc_AgV!E11/Manual_AgV!E11,IF(AND(ISNUMBER(Calc_AgV!E11),NOT(ISNUMBER(Manual_AgV!E11))),"só calc",IF(AND(ISNUMBER(Manual_AgV!E11),NOT(ISNUMBER(Calc_AgV!E11))),"só manual","sem valor")))</f>
        <v>1</v>
      </c>
      <c r="F11" s="12">
        <f>IF(AND(ISNUMBER(Calc_AgV!F11),ISNUMBER(Manual_AgV!F11)),Calc_AgV!F11/Manual_AgV!F11,IF(AND(ISNUMBER(Calc_AgV!F11),NOT(ISNUMBER(Manual_AgV!F11))),"só calc",IF(AND(ISNUMBER(Manual_AgV!F11),NOT(ISNUMBER(Calc_AgV!F11))),"só manual","sem valor")))</f>
        <v>0.99618967144692838</v>
      </c>
      <c r="G11" s="12">
        <f>IF(AND(ISNUMBER(Calc_AgV!G11),ISNUMBER(Manual_AgV!G11)),Calc_AgV!G11/Manual_AgV!G11,IF(AND(ISNUMBER(Calc_AgV!G11),NOT(ISNUMBER(Manual_AgV!G11))),"só calc",IF(AND(ISNUMBER(Manual_AgV!G11),NOT(ISNUMBER(Calc_AgV!G11))),"só manual","sem valor")))</f>
        <v>1</v>
      </c>
      <c r="H11" s="12">
        <f>IF(AND(ISNUMBER(Calc_AgV!H11),ISNUMBER(Manual_AgV!H11)),Calc_AgV!H11/Manual_AgV!H11,IF(AND(ISNUMBER(Calc_AgV!H11),NOT(ISNUMBER(Manual_AgV!H11))),"só calc",IF(AND(ISNUMBER(Manual_AgV!H11),NOT(ISNUMBER(Calc_AgV!H11))),"só manual","sem valor")))</f>
        <v>1.0025102483597192</v>
      </c>
      <c r="I11" s="12">
        <f>IF(AND(ISNUMBER(Calc_AgV!I11),ISNUMBER(Manual_AgV!I11)),Calc_AgV!I11/Manual_AgV!I11,IF(AND(ISNUMBER(Calc_AgV!I11),NOT(ISNUMBER(Manual_AgV!I11))),"só calc",IF(AND(ISNUMBER(Manual_AgV!I11),NOT(ISNUMBER(Calc_AgV!I11))),"só manual","sem valor")))</f>
        <v>1</v>
      </c>
      <c r="J11" s="12">
        <f>IF(AND(ISNUMBER(Calc_AgV!J11),ISNUMBER(Manual_AgV!J11)),Calc_AgV!J11/Manual_AgV!J11,IF(AND(ISNUMBER(Calc_AgV!J11),NOT(ISNUMBER(Manual_AgV!J11))),"só calc",IF(AND(ISNUMBER(Manual_AgV!J11),NOT(ISNUMBER(Calc_AgV!J11))),"só manual","sem valor")))</f>
        <v>0.99977046979501427</v>
      </c>
      <c r="K11" s="12">
        <f>IF(AND(ISNUMBER(Calc_AgV!K11),ISNUMBER(Manual_AgV!K11)),Calc_AgV!K11/Manual_AgV!K11,IF(AND(ISNUMBER(Calc_AgV!K11),NOT(ISNUMBER(Manual_AgV!K11))),"só calc",IF(AND(ISNUMBER(Manual_AgV!K11),NOT(ISNUMBER(Calc_AgV!K11))),"só manual","sem valor")))</f>
        <v>1</v>
      </c>
      <c r="L11" s="12">
        <f>IF(AND(ISNUMBER(Calc_AgV!L11),ISNUMBER(Manual_AgV!L11)),Calc_AgV!L11/Manual_AgV!L11,IF(AND(ISNUMBER(Calc_AgV!L11),NOT(ISNUMBER(Manual_AgV!L11))),"só calc",IF(AND(ISNUMBER(Manual_AgV!L11),NOT(ISNUMBER(Calc_AgV!L11))),"só manual","sem valor")))</f>
        <v>0.9993615153393044</v>
      </c>
      <c r="M11" s="12">
        <f>IF(AND(ISNUMBER(Calc_AgV!M11),ISNUMBER(Manual_AgV!M11)),Calc_AgV!M11/Manual_AgV!M11,IF(AND(ISNUMBER(Calc_AgV!M11),NOT(ISNUMBER(Manual_AgV!M11))),"só calc",IF(AND(ISNUMBER(Manual_AgV!M11),NOT(ISNUMBER(Calc_AgV!M11))),"só manual","sem valor")))</f>
        <v>1</v>
      </c>
      <c r="N11" s="12">
        <f>IF(AND(ISNUMBER(Calc_AgV!N11),ISNUMBER(Manual_AgV!N11)),Calc_AgV!N11/Manual_AgV!N11,IF(AND(ISNUMBER(Calc_AgV!N11),NOT(ISNUMBER(Manual_AgV!N11))),"só calc",IF(AND(ISNUMBER(Manual_AgV!N11),NOT(ISNUMBER(Calc_AgV!N11))),"só manual","sem valor")))</f>
        <v>1.0004013453334877</v>
      </c>
      <c r="O11" s="12">
        <f>IF(AND(ISNUMBER(Calc_AgV!O11),ISNUMBER(Manual_AgV!O11)),Calc_AgV!O11/Manual_AgV!O11,IF(AND(ISNUMBER(Calc_AgV!O11),NOT(ISNUMBER(Manual_AgV!O11))),"só calc",IF(AND(ISNUMBER(Manual_AgV!O11),NOT(ISNUMBER(Calc_AgV!O11))),"só manual","sem valor")))</f>
        <v>1</v>
      </c>
      <c r="P11" s="12">
        <f>IF(AND(ISNUMBER(Calc_AgV!P11),ISNUMBER(Manual_AgV!P11)),Calc_AgV!P11/Manual_AgV!P11,IF(AND(ISNUMBER(Calc_AgV!P11),NOT(ISNUMBER(Manual_AgV!P11))),"só calc",IF(AND(ISNUMBER(Manual_AgV!P11),NOT(ISNUMBER(Calc_AgV!P11))),"só manual","sem valor")))</f>
        <v>0.99820006447377074</v>
      </c>
      <c r="Q11" s="12">
        <f>IF(AND(ISNUMBER(Calc_AgV!Q11),ISNUMBER(Manual_AgV!Q11)),Calc_AgV!Q11/Manual_AgV!Q11,IF(AND(ISNUMBER(Calc_AgV!Q11),NOT(ISNUMBER(Manual_AgV!Q11))),"só calc",IF(AND(ISNUMBER(Manual_AgV!Q11),NOT(ISNUMBER(Calc_AgV!Q11))),"só manual","sem valor")))</f>
        <v>1</v>
      </c>
      <c r="R11" s="12">
        <f>IF(AND(ISNUMBER(Calc_AgV!R11),ISNUMBER(Manual_AgV!R11)),Calc_AgV!R11/Manual_AgV!R11,IF(AND(ISNUMBER(Calc_AgV!R11),NOT(ISNUMBER(Manual_AgV!R11))),"só calc",IF(AND(ISNUMBER(Manual_AgV!R11),NOT(ISNUMBER(Calc_AgV!R11))),"só manual","sem valor")))</f>
        <v>0.99999039032419212</v>
      </c>
      <c r="S11" s="12">
        <f>IF(AND(ISNUMBER(Calc_AgV!S11),ISNUMBER(Manual_AgV!S11)),Calc_AgV!S11/Manual_AgV!S11,IF(AND(ISNUMBER(Calc_AgV!S11),NOT(ISNUMBER(Manual_AgV!S11))),"só calc",IF(AND(ISNUMBER(Manual_AgV!S11),NOT(ISNUMBER(Calc_AgV!S11))),"só manual","sem valor")))</f>
        <v>1</v>
      </c>
      <c r="T11" s="12">
        <f>IF(AND(ISNUMBER(Calc_AgV!T11),ISNUMBER(Manual_AgV!T11)),Calc_AgV!T11/Manual_AgV!T11,IF(AND(ISNUMBER(Calc_AgV!T11),NOT(ISNUMBER(Manual_AgV!T11))),"só calc",IF(AND(ISNUMBER(Manual_AgV!T11),NOT(ISNUMBER(Calc_AgV!T11))),"só manual","sem valor")))</f>
        <v>1.0015920347996874</v>
      </c>
      <c r="U11" s="12">
        <f>IF(AND(ISNUMBER(Calc_AgV!U11),ISNUMBER(Manual_AgV!U11)),Calc_AgV!U11/Manual_AgV!U11,IF(AND(ISNUMBER(Calc_AgV!U11),NOT(ISNUMBER(Manual_AgV!U11))),"só calc",IF(AND(ISNUMBER(Manual_AgV!U11),NOT(ISNUMBER(Calc_AgV!U11))),"só manual","sem valor")))</f>
        <v>1</v>
      </c>
      <c r="V11" s="12">
        <f>IF(AND(ISNUMBER(Calc_AgV!V11),ISNUMBER(Manual_AgV!V11)),Calc_AgV!V11/Manual_AgV!V11,IF(AND(ISNUMBER(Calc_AgV!V11),NOT(ISNUMBER(Manual_AgV!V11))),"só calc",IF(AND(ISNUMBER(Manual_AgV!V11),NOT(ISNUMBER(Calc_AgV!V11))),"só manual","sem valor")))</f>
        <v>1.0013452704841401</v>
      </c>
      <c r="W11" s="12">
        <f>IF(AND(ISNUMBER(Calc_AgV!W11),ISNUMBER(Manual_AgV!W11)),Calc_AgV!W11/Manual_AgV!W11,IF(AND(ISNUMBER(Calc_AgV!W11),NOT(ISNUMBER(Manual_AgV!W11))),"só calc",IF(AND(ISNUMBER(Manual_AgV!W11),NOT(ISNUMBER(Calc_AgV!W11))),"só manual","sem valor")))</f>
        <v>1</v>
      </c>
      <c r="X11" s="12">
        <f>IF(AND(ISNUMBER(Calc_AgV!X11),ISNUMBER(Manual_AgV!X11)),Calc_AgV!X11/Manual_AgV!X11,IF(AND(ISNUMBER(Calc_AgV!X11),NOT(ISNUMBER(Manual_AgV!X11))),"só calc",IF(AND(ISNUMBER(Manual_AgV!X11),NOT(ISNUMBER(Calc_AgV!X11))),"só manual","sem valor")))</f>
        <v>1.0015899541644442</v>
      </c>
      <c r="Y11" s="12">
        <f>IF(AND(ISNUMBER(Calc_AgV!Y11),ISNUMBER(Manual_AgV!Y11)),Calc_AgV!Y11/Manual_AgV!Y11,IF(AND(ISNUMBER(Calc_AgV!Y11),NOT(ISNUMBER(Manual_AgV!Y11))),"só calc",IF(AND(ISNUMBER(Manual_AgV!Y11),NOT(ISNUMBER(Calc_AgV!Y11))),"só manual","sem valor")))</f>
        <v>1</v>
      </c>
      <c r="Z11" s="12">
        <f>IF(AND(ISNUMBER(Calc_AgV!Z11),ISNUMBER(Manual_AgV!Z11)),Calc_AgV!Z11/Manual_AgV!Z11,IF(AND(ISNUMBER(Calc_AgV!Z11),NOT(ISNUMBER(Manual_AgV!Z11))),"só calc",IF(AND(ISNUMBER(Manual_AgV!Z11),NOT(ISNUMBER(Calc_AgV!Z11))),"só manual","sem valor")))</f>
        <v>0.99979350422203084</v>
      </c>
    </row>
    <row r="12" spans="1:26" x14ac:dyDescent="0.25">
      <c r="A12" s="11" t="s">
        <v>55</v>
      </c>
      <c r="B12" s="11" t="str">
        <f>Calc_AgV!B12</f>
        <v>R7</v>
      </c>
      <c r="C12" s="12">
        <f>IF(AND(ISNUMBER(Calc_AgV!C12),ISNUMBER(Manual_AgV!C12)),Calc_AgV!C12/Manual_AgV!C12,IF(AND(ISNUMBER(Calc_AgV!C12),NOT(ISNUMBER(Manual_AgV!C12))),"só calc",IF(AND(ISNUMBER(Manual_AgV!C12),NOT(ISNUMBER(Calc_AgV!C12))),"só manual","sem valor")))</f>
        <v>1</v>
      </c>
      <c r="D12" s="12">
        <f>IF(AND(ISNUMBER(Calc_AgV!D12),ISNUMBER(Manual_AgV!D12)),Calc_AgV!D12/Manual_AgV!D12,IF(AND(ISNUMBER(Calc_AgV!D12),NOT(ISNUMBER(Manual_AgV!D12))),"só calc",IF(AND(ISNUMBER(Manual_AgV!D12),NOT(ISNUMBER(Calc_AgV!D12))),"só manual","sem valor")))</f>
        <v>1.0069737863867534</v>
      </c>
      <c r="E12" s="12">
        <f>IF(AND(ISNUMBER(Calc_AgV!E12),ISNUMBER(Manual_AgV!E12)),Calc_AgV!E12/Manual_AgV!E12,IF(AND(ISNUMBER(Calc_AgV!E12),NOT(ISNUMBER(Manual_AgV!E12))),"só calc",IF(AND(ISNUMBER(Manual_AgV!E12),NOT(ISNUMBER(Calc_AgV!E12))),"só manual","sem valor")))</f>
        <v>1</v>
      </c>
      <c r="F12" s="12">
        <f>IF(AND(ISNUMBER(Calc_AgV!F12),ISNUMBER(Manual_AgV!F12)),Calc_AgV!F12/Manual_AgV!F12,IF(AND(ISNUMBER(Calc_AgV!F12),NOT(ISNUMBER(Manual_AgV!F12))),"só calc",IF(AND(ISNUMBER(Manual_AgV!F12),NOT(ISNUMBER(Calc_AgV!F12))),"só manual","sem valor")))</f>
        <v>1.0022505948930112</v>
      </c>
      <c r="G12" s="12">
        <f>IF(AND(ISNUMBER(Calc_AgV!G12),ISNUMBER(Manual_AgV!G12)),Calc_AgV!G12/Manual_AgV!G12,IF(AND(ISNUMBER(Calc_AgV!G12),NOT(ISNUMBER(Manual_AgV!G12))),"só calc",IF(AND(ISNUMBER(Manual_AgV!G12),NOT(ISNUMBER(Calc_AgV!G12))),"só manual","sem valor")))</f>
        <v>1</v>
      </c>
      <c r="H12" s="12">
        <f>IF(AND(ISNUMBER(Calc_AgV!H12),ISNUMBER(Manual_AgV!H12)),Calc_AgV!H12/Manual_AgV!H12,IF(AND(ISNUMBER(Calc_AgV!H12),NOT(ISNUMBER(Manual_AgV!H12))),"só calc",IF(AND(ISNUMBER(Manual_AgV!H12),NOT(ISNUMBER(Calc_AgV!H12))),"só manual","sem valor")))</f>
        <v>1.0046841161376141</v>
      </c>
      <c r="I12" s="12">
        <f>IF(AND(ISNUMBER(Calc_AgV!I12),ISNUMBER(Manual_AgV!I12)),Calc_AgV!I12/Manual_AgV!I12,IF(AND(ISNUMBER(Calc_AgV!I12),NOT(ISNUMBER(Manual_AgV!I12))),"só calc",IF(AND(ISNUMBER(Manual_AgV!I12),NOT(ISNUMBER(Calc_AgV!I12))),"só manual","sem valor")))</f>
        <v>1</v>
      </c>
      <c r="J12" s="12">
        <f>IF(AND(ISNUMBER(Calc_AgV!J12),ISNUMBER(Manual_AgV!J12)),Calc_AgV!J12/Manual_AgV!J12,IF(AND(ISNUMBER(Calc_AgV!J12),NOT(ISNUMBER(Manual_AgV!J12))),"só calc",IF(AND(ISNUMBER(Manual_AgV!J12),NOT(ISNUMBER(Calc_AgV!J12))),"só manual","sem valor")))</f>
        <v>0.99972553550950871</v>
      </c>
      <c r="K12" s="12">
        <f>IF(AND(ISNUMBER(Calc_AgV!K12),ISNUMBER(Manual_AgV!K12)),Calc_AgV!K12/Manual_AgV!K12,IF(AND(ISNUMBER(Calc_AgV!K12),NOT(ISNUMBER(Manual_AgV!K12))),"só calc",IF(AND(ISNUMBER(Manual_AgV!K12),NOT(ISNUMBER(Calc_AgV!K12))),"só manual","sem valor")))</f>
        <v>1</v>
      </c>
      <c r="L12" s="12">
        <f>IF(AND(ISNUMBER(Calc_AgV!L12),ISNUMBER(Manual_AgV!L12)),Calc_AgV!L12/Manual_AgV!L12,IF(AND(ISNUMBER(Calc_AgV!L12),NOT(ISNUMBER(Manual_AgV!L12))),"só calc",IF(AND(ISNUMBER(Manual_AgV!L12),NOT(ISNUMBER(Calc_AgV!L12))),"só manual","sem valor")))</f>
        <v>0.99820607766862612</v>
      </c>
      <c r="M12" s="12">
        <f>IF(AND(ISNUMBER(Calc_AgV!M12),ISNUMBER(Manual_AgV!M12)),Calc_AgV!M12/Manual_AgV!M12,IF(AND(ISNUMBER(Calc_AgV!M12),NOT(ISNUMBER(Manual_AgV!M12))),"só calc",IF(AND(ISNUMBER(Manual_AgV!M12),NOT(ISNUMBER(Calc_AgV!M12))),"só manual","sem valor")))</f>
        <v>1</v>
      </c>
      <c r="N12" s="12">
        <f>IF(AND(ISNUMBER(Calc_AgV!N12),ISNUMBER(Manual_AgV!N12)),Calc_AgV!N12/Manual_AgV!N12,IF(AND(ISNUMBER(Calc_AgV!N12),NOT(ISNUMBER(Manual_AgV!N12))),"só calc",IF(AND(ISNUMBER(Manual_AgV!N12),NOT(ISNUMBER(Calc_AgV!N12))),"só manual","sem valor")))</f>
        <v>1.0004446959065287</v>
      </c>
      <c r="O12" s="12">
        <f>IF(AND(ISNUMBER(Calc_AgV!O12),ISNUMBER(Manual_AgV!O12)),Calc_AgV!O12/Manual_AgV!O12,IF(AND(ISNUMBER(Calc_AgV!O12),NOT(ISNUMBER(Manual_AgV!O12))),"só calc",IF(AND(ISNUMBER(Manual_AgV!O12),NOT(ISNUMBER(Calc_AgV!O12))),"só manual","sem valor")))</f>
        <v>1</v>
      </c>
      <c r="P12" s="12">
        <f>IF(AND(ISNUMBER(Calc_AgV!P12),ISNUMBER(Manual_AgV!P12)),Calc_AgV!P12/Manual_AgV!P12,IF(AND(ISNUMBER(Calc_AgV!P12),NOT(ISNUMBER(Manual_AgV!P12))),"só calc",IF(AND(ISNUMBER(Manual_AgV!P12),NOT(ISNUMBER(Calc_AgV!P12))),"só manual","sem valor")))</f>
        <v>1.0021885548559637</v>
      </c>
      <c r="Q12" s="12">
        <f>IF(AND(ISNUMBER(Calc_AgV!Q12),ISNUMBER(Manual_AgV!Q12)),Calc_AgV!Q12/Manual_AgV!Q12,IF(AND(ISNUMBER(Calc_AgV!Q12),NOT(ISNUMBER(Manual_AgV!Q12))),"só calc",IF(AND(ISNUMBER(Manual_AgV!Q12),NOT(ISNUMBER(Calc_AgV!Q12))),"só manual","sem valor")))</f>
        <v>1</v>
      </c>
      <c r="R12" s="12">
        <f>IF(AND(ISNUMBER(Calc_AgV!R12),ISNUMBER(Manual_AgV!R12)),Calc_AgV!R12/Manual_AgV!R12,IF(AND(ISNUMBER(Calc_AgV!R12),NOT(ISNUMBER(Manual_AgV!R12))),"só calc",IF(AND(ISNUMBER(Manual_AgV!R12),NOT(ISNUMBER(Calc_AgV!R12))),"só manual","sem valor")))</f>
        <v>0.99993668524408397</v>
      </c>
      <c r="S12" s="12">
        <f>IF(AND(ISNUMBER(Calc_AgV!S12),ISNUMBER(Manual_AgV!S12)),Calc_AgV!S12/Manual_AgV!S12,IF(AND(ISNUMBER(Calc_AgV!S12),NOT(ISNUMBER(Manual_AgV!S12))),"só calc",IF(AND(ISNUMBER(Manual_AgV!S12),NOT(ISNUMBER(Calc_AgV!S12))),"só manual","sem valor")))</f>
        <v>1</v>
      </c>
      <c r="T12" s="12">
        <f>IF(AND(ISNUMBER(Calc_AgV!T12),ISNUMBER(Manual_AgV!T12)),Calc_AgV!T12/Manual_AgV!T12,IF(AND(ISNUMBER(Calc_AgV!T12),NOT(ISNUMBER(Manual_AgV!T12))),"só calc",IF(AND(ISNUMBER(Manual_AgV!T12),NOT(ISNUMBER(Calc_AgV!T12))),"só manual","sem valor")))</f>
        <v>1.0005151427155772</v>
      </c>
      <c r="U12" s="12">
        <f>IF(AND(ISNUMBER(Calc_AgV!U12),ISNUMBER(Manual_AgV!U12)),Calc_AgV!U12/Manual_AgV!U12,IF(AND(ISNUMBER(Calc_AgV!U12),NOT(ISNUMBER(Manual_AgV!U12))),"só calc",IF(AND(ISNUMBER(Manual_AgV!U12),NOT(ISNUMBER(Calc_AgV!U12))),"só manual","sem valor")))</f>
        <v>1</v>
      </c>
      <c r="V12" s="12">
        <f>IF(AND(ISNUMBER(Calc_AgV!V12),ISNUMBER(Manual_AgV!V12)),Calc_AgV!V12/Manual_AgV!V12,IF(AND(ISNUMBER(Calc_AgV!V12),NOT(ISNUMBER(Manual_AgV!V12))),"só calc",IF(AND(ISNUMBER(Manual_AgV!V12),NOT(ISNUMBER(Calc_AgV!V12))),"só manual","sem valor")))</f>
        <v>0.99772928560345575</v>
      </c>
      <c r="W12" s="12">
        <f>IF(AND(ISNUMBER(Calc_AgV!W12),ISNUMBER(Manual_AgV!W12)),Calc_AgV!W12/Manual_AgV!W12,IF(AND(ISNUMBER(Calc_AgV!W12),NOT(ISNUMBER(Manual_AgV!W12))),"só calc",IF(AND(ISNUMBER(Manual_AgV!W12),NOT(ISNUMBER(Calc_AgV!W12))),"só manual","sem valor")))</f>
        <v>1</v>
      </c>
      <c r="X12" s="12">
        <f>IF(AND(ISNUMBER(Calc_AgV!X12),ISNUMBER(Manual_AgV!X12)),Calc_AgV!X12/Manual_AgV!X12,IF(AND(ISNUMBER(Calc_AgV!X12),NOT(ISNUMBER(Manual_AgV!X12))),"só calc",IF(AND(ISNUMBER(Manual_AgV!X12),NOT(ISNUMBER(Calc_AgV!X12))),"só manual","sem valor")))</f>
        <v>1.0011772493738722</v>
      </c>
      <c r="Y12" s="12">
        <f>IF(AND(ISNUMBER(Calc_AgV!Y12),ISNUMBER(Manual_AgV!Y12)),Calc_AgV!Y12/Manual_AgV!Y12,IF(AND(ISNUMBER(Calc_AgV!Y12),NOT(ISNUMBER(Manual_AgV!Y12))),"só calc",IF(AND(ISNUMBER(Manual_AgV!Y12),NOT(ISNUMBER(Calc_AgV!Y12))),"só manual","sem valor")))</f>
        <v>1</v>
      </c>
      <c r="Z12" s="12">
        <f>IF(AND(ISNUMBER(Calc_AgV!Z12),ISNUMBER(Manual_AgV!Z12)),Calc_AgV!Z12/Manual_AgV!Z12,IF(AND(ISNUMBER(Calc_AgV!Z12),NOT(ISNUMBER(Manual_AgV!Z12))),"só calc",IF(AND(ISNUMBER(Manual_AgV!Z12),NOT(ISNUMBER(Calc_AgV!Z12))),"só manual","sem valor")))</f>
        <v>0.99668946740438424</v>
      </c>
    </row>
    <row r="13" spans="1:26" x14ac:dyDescent="0.25">
      <c r="A13" s="11" t="s">
        <v>56</v>
      </c>
      <c r="B13" s="11" t="str">
        <f>Calc_AgV!B13</f>
        <v>R8</v>
      </c>
      <c r="C13" s="12">
        <f>IF(AND(ISNUMBER(Calc_AgV!C13),ISNUMBER(Manual_AgV!C13)),Calc_AgV!C13/Manual_AgV!C13,IF(AND(ISNUMBER(Calc_AgV!C13),NOT(ISNUMBER(Manual_AgV!C13))),"só calc",IF(AND(ISNUMBER(Manual_AgV!C13),NOT(ISNUMBER(Calc_AgV!C13))),"só manual","sem valor")))</f>
        <v>1</v>
      </c>
      <c r="D13" s="12">
        <f>IF(AND(ISNUMBER(Calc_AgV!D13),ISNUMBER(Manual_AgV!D13)),Calc_AgV!D13/Manual_AgV!D13,IF(AND(ISNUMBER(Calc_AgV!D13),NOT(ISNUMBER(Manual_AgV!D13))),"só calc",IF(AND(ISNUMBER(Manual_AgV!D13),NOT(ISNUMBER(Calc_AgV!D13))),"só manual","sem valor")))</f>
        <v>0.99954816904147581</v>
      </c>
      <c r="E13" s="12">
        <f>IF(AND(ISNUMBER(Calc_AgV!E13),ISNUMBER(Manual_AgV!E13)),Calc_AgV!E13/Manual_AgV!E13,IF(AND(ISNUMBER(Calc_AgV!E13),NOT(ISNUMBER(Manual_AgV!E13))),"só calc",IF(AND(ISNUMBER(Manual_AgV!E13),NOT(ISNUMBER(Calc_AgV!E13))),"só manual","sem valor")))</f>
        <v>1</v>
      </c>
      <c r="F13" s="12">
        <f>IF(AND(ISNUMBER(Calc_AgV!F13),ISNUMBER(Manual_AgV!F13)),Calc_AgV!F13/Manual_AgV!F13,IF(AND(ISNUMBER(Calc_AgV!F13),NOT(ISNUMBER(Manual_AgV!F13))),"só calc",IF(AND(ISNUMBER(Manual_AgV!F13),NOT(ISNUMBER(Calc_AgV!F13))),"só manual","sem valor")))</f>
        <v>0.99809999276107042</v>
      </c>
      <c r="G13" s="12">
        <f>IF(AND(ISNUMBER(Calc_AgV!G13),ISNUMBER(Manual_AgV!G13)),Calc_AgV!G13/Manual_AgV!G13,IF(AND(ISNUMBER(Calc_AgV!G13),NOT(ISNUMBER(Manual_AgV!G13))),"só calc",IF(AND(ISNUMBER(Manual_AgV!G13),NOT(ISNUMBER(Calc_AgV!G13))),"só manual","sem valor")))</f>
        <v>1</v>
      </c>
      <c r="H13" s="12">
        <f>IF(AND(ISNUMBER(Calc_AgV!H13),ISNUMBER(Manual_AgV!H13)),Calc_AgV!H13/Manual_AgV!H13,IF(AND(ISNUMBER(Calc_AgV!H13),NOT(ISNUMBER(Manual_AgV!H13))),"só calc",IF(AND(ISNUMBER(Manual_AgV!H13),NOT(ISNUMBER(Calc_AgV!H13))),"só manual","sem valor")))</f>
        <v>1.0024496759065566</v>
      </c>
      <c r="I13" s="12">
        <f>IF(AND(ISNUMBER(Calc_AgV!I13),ISNUMBER(Manual_AgV!I13)),Calc_AgV!I13/Manual_AgV!I13,IF(AND(ISNUMBER(Calc_AgV!I13),NOT(ISNUMBER(Manual_AgV!I13))),"só calc",IF(AND(ISNUMBER(Manual_AgV!I13),NOT(ISNUMBER(Calc_AgV!I13))),"só manual","sem valor")))</f>
        <v>1</v>
      </c>
      <c r="J13" s="12">
        <f>IF(AND(ISNUMBER(Calc_AgV!J13),ISNUMBER(Manual_AgV!J13)),Calc_AgV!J13/Manual_AgV!J13,IF(AND(ISNUMBER(Calc_AgV!J13),NOT(ISNUMBER(Manual_AgV!J13))),"só calc",IF(AND(ISNUMBER(Manual_AgV!J13),NOT(ISNUMBER(Calc_AgV!J13))),"só manual","sem valor")))</f>
        <v>1.0002064939507296</v>
      </c>
      <c r="K13" s="12">
        <f>IF(AND(ISNUMBER(Calc_AgV!K13),ISNUMBER(Manual_AgV!K13)),Calc_AgV!K13/Manual_AgV!K13,IF(AND(ISNUMBER(Calc_AgV!K13),NOT(ISNUMBER(Manual_AgV!K13))),"só calc",IF(AND(ISNUMBER(Manual_AgV!K13),NOT(ISNUMBER(Calc_AgV!K13))),"só manual","sem valor")))</f>
        <v>1</v>
      </c>
      <c r="L13" s="12">
        <f>IF(AND(ISNUMBER(Calc_AgV!L13),ISNUMBER(Manual_AgV!L13)),Calc_AgV!L13/Manual_AgV!L13,IF(AND(ISNUMBER(Calc_AgV!L13),NOT(ISNUMBER(Manual_AgV!L13))),"só calc",IF(AND(ISNUMBER(Manual_AgV!L13),NOT(ISNUMBER(Calc_AgV!L13))),"só manual","sem valor")))</f>
        <v>0.99981043217791188</v>
      </c>
      <c r="M13" s="12">
        <f>IF(AND(ISNUMBER(Calc_AgV!M13),ISNUMBER(Manual_AgV!M13)),Calc_AgV!M13/Manual_AgV!M13,IF(AND(ISNUMBER(Calc_AgV!M13),NOT(ISNUMBER(Manual_AgV!M13))),"só calc",IF(AND(ISNUMBER(Manual_AgV!M13),NOT(ISNUMBER(Calc_AgV!M13))),"só manual","sem valor")))</f>
        <v>1</v>
      </c>
      <c r="N13" s="12">
        <f>IF(AND(ISNUMBER(Calc_AgV!N13),ISNUMBER(Manual_AgV!N13)),Calc_AgV!N13/Manual_AgV!N13,IF(AND(ISNUMBER(Calc_AgV!N13),NOT(ISNUMBER(Manual_AgV!N13))),"só calc",IF(AND(ISNUMBER(Manual_AgV!N13),NOT(ISNUMBER(Calc_AgV!N13))),"só manual","sem valor")))</f>
        <v>1.0000034808202474</v>
      </c>
      <c r="O13" s="12">
        <f>IF(AND(ISNUMBER(Calc_AgV!O13),ISNUMBER(Manual_AgV!O13)),Calc_AgV!O13/Manual_AgV!O13,IF(AND(ISNUMBER(Calc_AgV!O13),NOT(ISNUMBER(Manual_AgV!O13))),"só calc",IF(AND(ISNUMBER(Manual_AgV!O13),NOT(ISNUMBER(Calc_AgV!O13))),"só manual","sem valor")))</f>
        <v>1</v>
      </c>
      <c r="P13" s="12">
        <f>IF(AND(ISNUMBER(Calc_AgV!P13),ISNUMBER(Manual_AgV!P13)),Calc_AgV!P13/Manual_AgV!P13,IF(AND(ISNUMBER(Calc_AgV!P13),NOT(ISNUMBER(Manual_AgV!P13))),"só calc",IF(AND(ISNUMBER(Manual_AgV!P13),NOT(ISNUMBER(Calc_AgV!P13))),"só manual","sem valor")))</f>
        <v>0.99867457089851808</v>
      </c>
      <c r="Q13" s="12">
        <f>IF(AND(ISNUMBER(Calc_AgV!Q13),ISNUMBER(Manual_AgV!Q13)),Calc_AgV!Q13/Manual_AgV!Q13,IF(AND(ISNUMBER(Calc_AgV!Q13),NOT(ISNUMBER(Manual_AgV!Q13))),"só calc",IF(AND(ISNUMBER(Manual_AgV!Q13),NOT(ISNUMBER(Calc_AgV!Q13))),"só manual","sem valor")))</f>
        <v>1</v>
      </c>
      <c r="R13" s="12">
        <f>IF(AND(ISNUMBER(Calc_AgV!R13),ISNUMBER(Manual_AgV!R13)),Calc_AgV!R13/Manual_AgV!R13,IF(AND(ISNUMBER(Calc_AgV!R13),NOT(ISNUMBER(Manual_AgV!R13))),"só calc",IF(AND(ISNUMBER(Manual_AgV!R13),NOT(ISNUMBER(Calc_AgV!R13))),"só manual","sem valor")))</f>
        <v>0.9999722030528212</v>
      </c>
      <c r="S13" s="12">
        <f>IF(AND(ISNUMBER(Calc_AgV!S13),ISNUMBER(Manual_AgV!S13)),Calc_AgV!S13/Manual_AgV!S13,IF(AND(ISNUMBER(Calc_AgV!S13),NOT(ISNUMBER(Manual_AgV!S13))),"só calc",IF(AND(ISNUMBER(Manual_AgV!S13),NOT(ISNUMBER(Calc_AgV!S13))),"só manual","sem valor")))</f>
        <v>1</v>
      </c>
      <c r="T13" s="12">
        <f>IF(AND(ISNUMBER(Calc_AgV!T13),ISNUMBER(Manual_AgV!T13)),Calc_AgV!T13/Manual_AgV!T13,IF(AND(ISNUMBER(Calc_AgV!T13),NOT(ISNUMBER(Manual_AgV!T13))),"só calc",IF(AND(ISNUMBER(Manual_AgV!T13),NOT(ISNUMBER(Calc_AgV!T13))),"só manual","sem valor")))</f>
        <v>0.9991348177185142</v>
      </c>
      <c r="U13" s="12">
        <f>IF(AND(ISNUMBER(Calc_AgV!U13),ISNUMBER(Manual_AgV!U13)),Calc_AgV!U13/Manual_AgV!U13,IF(AND(ISNUMBER(Calc_AgV!U13),NOT(ISNUMBER(Manual_AgV!U13))),"só calc",IF(AND(ISNUMBER(Manual_AgV!U13),NOT(ISNUMBER(Calc_AgV!U13))),"só manual","sem valor")))</f>
        <v>1</v>
      </c>
      <c r="V13" s="12">
        <f>IF(AND(ISNUMBER(Calc_AgV!V13),ISNUMBER(Manual_AgV!V13)),Calc_AgV!V13/Manual_AgV!V13,IF(AND(ISNUMBER(Calc_AgV!V13),NOT(ISNUMBER(Manual_AgV!V13))),"só calc",IF(AND(ISNUMBER(Manual_AgV!V13),NOT(ISNUMBER(Calc_AgV!V13))),"só manual","sem valor")))</f>
        <v>1.0002801690745573</v>
      </c>
      <c r="W13" s="12">
        <f>IF(AND(ISNUMBER(Calc_AgV!W13),ISNUMBER(Manual_AgV!W13)),Calc_AgV!W13/Manual_AgV!W13,IF(AND(ISNUMBER(Calc_AgV!W13),NOT(ISNUMBER(Manual_AgV!W13))),"só calc",IF(AND(ISNUMBER(Manual_AgV!W13),NOT(ISNUMBER(Calc_AgV!W13))),"só manual","sem valor")))</f>
        <v>1</v>
      </c>
      <c r="X13" s="12">
        <f>IF(AND(ISNUMBER(Calc_AgV!X13),ISNUMBER(Manual_AgV!X13)),Calc_AgV!X13/Manual_AgV!X13,IF(AND(ISNUMBER(Calc_AgV!X13),NOT(ISNUMBER(Manual_AgV!X13))),"só calc",IF(AND(ISNUMBER(Manual_AgV!X13),NOT(ISNUMBER(Calc_AgV!X13))),"só manual","sem valor")))</f>
        <v>1.0003220932049595</v>
      </c>
      <c r="Y13" s="12">
        <f>IF(AND(ISNUMBER(Calc_AgV!Y13),ISNUMBER(Manual_AgV!Y13)),Calc_AgV!Y13/Manual_AgV!Y13,IF(AND(ISNUMBER(Calc_AgV!Y13),NOT(ISNUMBER(Manual_AgV!Y13))),"só calc",IF(AND(ISNUMBER(Manual_AgV!Y13),NOT(ISNUMBER(Calc_AgV!Y13))),"só manual","sem valor")))</f>
        <v>1</v>
      </c>
      <c r="Z13" s="12">
        <f>IF(AND(ISNUMBER(Calc_AgV!Z13),ISNUMBER(Manual_AgV!Z13)),Calc_AgV!Z13/Manual_AgV!Z13,IF(AND(ISNUMBER(Calc_AgV!Z13),NOT(ISNUMBER(Manual_AgV!Z13))),"só calc",IF(AND(ISNUMBER(Manual_AgV!Z13),NOT(ISNUMBER(Calc_AgV!Z13))),"só manual","sem valor")))</f>
        <v>1.0035642490778793</v>
      </c>
    </row>
    <row r="14" spans="1:26" x14ac:dyDescent="0.25">
      <c r="A14" s="11" t="s">
        <v>57</v>
      </c>
      <c r="B14" s="11" t="str">
        <f>Calc_AgV!B14</f>
        <v>R9</v>
      </c>
      <c r="C14" s="12">
        <f>IF(AND(ISNUMBER(Calc_AgV!C14),ISNUMBER(Manual_AgV!C14)),Calc_AgV!C14/Manual_AgV!C14,IF(AND(ISNUMBER(Calc_AgV!C14),NOT(ISNUMBER(Manual_AgV!C14))),"só calc",IF(AND(ISNUMBER(Manual_AgV!C14),NOT(ISNUMBER(Calc_AgV!C14))),"só manual","sem valor")))</f>
        <v>1</v>
      </c>
      <c r="D14" s="12">
        <f>IF(AND(ISNUMBER(Calc_AgV!D14),ISNUMBER(Manual_AgV!D14)),Calc_AgV!D14/Manual_AgV!D14,IF(AND(ISNUMBER(Calc_AgV!D14),NOT(ISNUMBER(Manual_AgV!D14))),"só calc",IF(AND(ISNUMBER(Manual_AgV!D14),NOT(ISNUMBER(Calc_AgV!D14))),"só manual","sem valor")))</f>
        <v>1.0065543263948018</v>
      </c>
      <c r="E14" s="12">
        <f>IF(AND(ISNUMBER(Calc_AgV!E14),ISNUMBER(Manual_AgV!E14)),Calc_AgV!E14/Manual_AgV!E14,IF(AND(ISNUMBER(Calc_AgV!E14),NOT(ISNUMBER(Manual_AgV!E14))),"só calc",IF(AND(ISNUMBER(Manual_AgV!E14),NOT(ISNUMBER(Calc_AgV!E14))),"só manual","sem valor")))</f>
        <v>1</v>
      </c>
      <c r="F14" s="12">
        <f>IF(AND(ISNUMBER(Calc_AgV!F14),ISNUMBER(Manual_AgV!F14)),Calc_AgV!F14/Manual_AgV!F14,IF(AND(ISNUMBER(Calc_AgV!F14),NOT(ISNUMBER(Manual_AgV!F14))),"só calc",IF(AND(ISNUMBER(Manual_AgV!F14),NOT(ISNUMBER(Calc_AgV!F14))),"só manual","sem valor")))</f>
        <v>1.0053203399352946</v>
      </c>
      <c r="G14" s="12">
        <f>IF(AND(ISNUMBER(Calc_AgV!G14),ISNUMBER(Manual_AgV!G14)),Calc_AgV!G14/Manual_AgV!G14,IF(AND(ISNUMBER(Calc_AgV!G14),NOT(ISNUMBER(Manual_AgV!G14))),"só calc",IF(AND(ISNUMBER(Manual_AgV!G14),NOT(ISNUMBER(Calc_AgV!G14))),"só manual","sem valor")))</f>
        <v>1</v>
      </c>
      <c r="H14" s="12">
        <f>IF(AND(ISNUMBER(Calc_AgV!H14),ISNUMBER(Manual_AgV!H14)),Calc_AgV!H14/Manual_AgV!H14,IF(AND(ISNUMBER(Calc_AgV!H14),NOT(ISNUMBER(Manual_AgV!H14))),"só calc",IF(AND(ISNUMBER(Manual_AgV!H14),NOT(ISNUMBER(Calc_AgV!H14))),"só manual","sem valor")))</f>
        <v>0.99731677325530377</v>
      </c>
      <c r="I14" s="12">
        <f>IF(AND(ISNUMBER(Calc_AgV!I14),ISNUMBER(Manual_AgV!I14)),Calc_AgV!I14/Manual_AgV!I14,IF(AND(ISNUMBER(Calc_AgV!I14),NOT(ISNUMBER(Manual_AgV!I14))),"só calc",IF(AND(ISNUMBER(Manual_AgV!I14),NOT(ISNUMBER(Calc_AgV!I14))),"só manual","sem valor")))</f>
        <v>1</v>
      </c>
      <c r="J14" s="12">
        <f>IF(AND(ISNUMBER(Calc_AgV!J14),ISNUMBER(Manual_AgV!J14)),Calc_AgV!J14/Manual_AgV!J14,IF(AND(ISNUMBER(Calc_AgV!J14),NOT(ISNUMBER(Manual_AgV!J14))),"só calc",IF(AND(ISNUMBER(Manual_AgV!J14),NOT(ISNUMBER(Calc_AgV!J14))),"só manual","sem valor")))</f>
        <v>0.99991533220771933</v>
      </c>
      <c r="K14" s="12">
        <f>IF(AND(ISNUMBER(Calc_AgV!K14),ISNUMBER(Manual_AgV!K14)),Calc_AgV!K14/Manual_AgV!K14,IF(AND(ISNUMBER(Calc_AgV!K14),NOT(ISNUMBER(Manual_AgV!K14))),"só calc",IF(AND(ISNUMBER(Manual_AgV!K14),NOT(ISNUMBER(Calc_AgV!K14))),"só manual","sem valor")))</f>
        <v>1</v>
      </c>
      <c r="L14" s="12">
        <f>IF(AND(ISNUMBER(Calc_AgV!L14),ISNUMBER(Manual_AgV!L14)),Calc_AgV!L14/Manual_AgV!L14,IF(AND(ISNUMBER(Calc_AgV!L14),NOT(ISNUMBER(Manual_AgV!L14))),"só calc",IF(AND(ISNUMBER(Manual_AgV!L14),NOT(ISNUMBER(Calc_AgV!L14))),"só manual","sem valor")))</f>
        <v>1.0003283033121664</v>
      </c>
      <c r="M14" s="12">
        <f>IF(AND(ISNUMBER(Calc_AgV!M14),ISNUMBER(Manual_AgV!M14)),Calc_AgV!M14/Manual_AgV!M14,IF(AND(ISNUMBER(Calc_AgV!M14),NOT(ISNUMBER(Manual_AgV!M14))),"só calc",IF(AND(ISNUMBER(Manual_AgV!M14),NOT(ISNUMBER(Calc_AgV!M14))),"só manual","sem valor")))</f>
        <v>1</v>
      </c>
      <c r="N14" s="12">
        <f>IF(AND(ISNUMBER(Calc_AgV!N14),ISNUMBER(Manual_AgV!N14)),Calc_AgV!N14/Manual_AgV!N14,IF(AND(ISNUMBER(Calc_AgV!N14),NOT(ISNUMBER(Manual_AgV!N14))),"só calc",IF(AND(ISNUMBER(Manual_AgV!N14),NOT(ISNUMBER(Calc_AgV!N14))),"só manual","sem valor")))</f>
        <v>1.0000745274008835</v>
      </c>
      <c r="O14" s="12">
        <f>IF(AND(ISNUMBER(Calc_AgV!O14),ISNUMBER(Manual_AgV!O14)),Calc_AgV!O14/Manual_AgV!O14,IF(AND(ISNUMBER(Calc_AgV!O14),NOT(ISNUMBER(Manual_AgV!O14))),"só calc",IF(AND(ISNUMBER(Manual_AgV!O14),NOT(ISNUMBER(Calc_AgV!O14))),"só manual","sem valor")))</f>
        <v>1</v>
      </c>
      <c r="P14" s="12">
        <f>IF(AND(ISNUMBER(Calc_AgV!P14),ISNUMBER(Manual_AgV!P14)),Calc_AgV!P14/Manual_AgV!P14,IF(AND(ISNUMBER(Calc_AgV!P14),NOT(ISNUMBER(Manual_AgV!P14))),"só calc",IF(AND(ISNUMBER(Manual_AgV!P14),NOT(ISNUMBER(Calc_AgV!P14))),"só manual","sem valor")))</f>
        <v>1.0004793496752551</v>
      </c>
      <c r="Q14" s="12">
        <f>IF(AND(ISNUMBER(Calc_AgV!Q14),ISNUMBER(Manual_AgV!Q14)),Calc_AgV!Q14/Manual_AgV!Q14,IF(AND(ISNUMBER(Calc_AgV!Q14),NOT(ISNUMBER(Manual_AgV!Q14))),"só calc",IF(AND(ISNUMBER(Manual_AgV!Q14),NOT(ISNUMBER(Calc_AgV!Q14))),"só manual","sem valor")))</f>
        <v>1</v>
      </c>
      <c r="R14" s="12">
        <f>IF(AND(ISNUMBER(Calc_AgV!R14),ISNUMBER(Manual_AgV!R14)),Calc_AgV!R14/Manual_AgV!R14,IF(AND(ISNUMBER(Calc_AgV!R14),NOT(ISNUMBER(Manual_AgV!R14))),"só calc",IF(AND(ISNUMBER(Manual_AgV!R14),NOT(ISNUMBER(Calc_AgV!R14))),"só manual","sem valor")))</f>
        <v>0.99999359729969373</v>
      </c>
      <c r="S14" s="12">
        <f>IF(AND(ISNUMBER(Calc_AgV!S14),ISNUMBER(Manual_AgV!S14)),Calc_AgV!S14/Manual_AgV!S14,IF(AND(ISNUMBER(Calc_AgV!S14),NOT(ISNUMBER(Manual_AgV!S14))),"só calc",IF(AND(ISNUMBER(Manual_AgV!S14),NOT(ISNUMBER(Calc_AgV!S14))),"só manual","sem valor")))</f>
        <v>1</v>
      </c>
      <c r="T14" s="12">
        <f>IF(AND(ISNUMBER(Calc_AgV!T14),ISNUMBER(Manual_AgV!T14)),Calc_AgV!T14/Manual_AgV!T14,IF(AND(ISNUMBER(Calc_AgV!T14),NOT(ISNUMBER(Manual_AgV!T14))),"só calc",IF(AND(ISNUMBER(Manual_AgV!T14),NOT(ISNUMBER(Calc_AgV!T14))),"só manual","sem valor")))</f>
        <v>0.99927346705985254</v>
      </c>
      <c r="U14" s="12">
        <f>IF(AND(ISNUMBER(Calc_AgV!U14),ISNUMBER(Manual_AgV!U14)),Calc_AgV!U14/Manual_AgV!U14,IF(AND(ISNUMBER(Calc_AgV!U14),NOT(ISNUMBER(Manual_AgV!U14))),"só calc",IF(AND(ISNUMBER(Manual_AgV!U14),NOT(ISNUMBER(Calc_AgV!U14))),"só manual","sem valor")))</f>
        <v>1</v>
      </c>
      <c r="V14" s="12">
        <f>IF(AND(ISNUMBER(Calc_AgV!V14),ISNUMBER(Manual_AgV!V14)),Calc_AgV!V14/Manual_AgV!V14,IF(AND(ISNUMBER(Calc_AgV!V14),NOT(ISNUMBER(Manual_AgV!V14))),"só calc",IF(AND(ISNUMBER(Manual_AgV!V14),NOT(ISNUMBER(Calc_AgV!V14))),"só manual","sem valor")))</f>
        <v>1.0011770846867067</v>
      </c>
      <c r="W14" s="12">
        <f>IF(AND(ISNUMBER(Calc_AgV!W14),ISNUMBER(Manual_AgV!W14)),Calc_AgV!W14/Manual_AgV!W14,IF(AND(ISNUMBER(Calc_AgV!W14),NOT(ISNUMBER(Manual_AgV!W14))),"só calc",IF(AND(ISNUMBER(Manual_AgV!W14),NOT(ISNUMBER(Calc_AgV!W14))),"só manual","sem valor")))</f>
        <v>1</v>
      </c>
      <c r="X14" s="12">
        <f>IF(AND(ISNUMBER(Calc_AgV!X14),ISNUMBER(Manual_AgV!X14)),Calc_AgV!X14/Manual_AgV!X14,IF(AND(ISNUMBER(Calc_AgV!X14),NOT(ISNUMBER(Manual_AgV!X14))),"só calc",IF(AND(ISNUMBER(Manual_AgV!X14),NOT(ISNUMBER(Calc_AgV!X14))),"só manual","sem valor")))</f>
        <v>0.99911333395173862</v>
      </c>
      <c r="Y14" s="12">
        <f>IF(AND(ISNUMBER(Calc_AgV!Y14),ISNUMBER(Manual_AgV!Y14)),Calc_AgV!Y14/Manual_AgV!Y14,IF(AND(ISNUMBER(Calc_AgV!Y14),NOT(ISNUMBER(Manual_AgV!Y14))),"só calc",IF(AND(ISNUMBER(Manual_AgV!Y14),NOT(ISNUMBER(Calc_AgV!Y14))),"só manual","sem valor")))</f>
        <v>1</v>
      </c>
      <c r="Z14" s="12">
        <f>IF(AND(ISNUMBER(Calc_AgV!Z14),ISNUMBER(Manual_AgV!Z14)),Calc_AgV!Z14/Manual_AgV!Z14,IF(AND(ISNUMBER(Calc_AgV!Z14),NOT(ISNUMBER(Manual_AgV!Z14))),"só calc",IF(AND(ISNUMBER(Manual_AgV!Z14),NOT(ISNUMBER(Calc_AgV!Z14))),"só manual","sem valor")))</f>
        <v>0.99891615285591806</v>
      </c>
    </row>
    <row r="15" spans="1:26" x14ac:dyDescent="0.25">
      <c r="A15" s="11" t="s">
        <v>58</v>
      </c>
      <c r="B15" s="11" t="str">
        <f>Calc_AgV!B15</f>
        <v>R10</v>
      </c>
      <c r="C15" s="12">
        <f>IF(AND(ISNUMBER(Calc_AgV!C15),ISNUMBER(Manual_AgV!C15)),Calc_AgV!C15/Manual_AgV!C15,IF(AND(ISNUMBER(Calc_AgV!C15),NOT(ISNUMBER(Manual_AgV!C15))),"só calc",IF(AND(ISNUMBER(Manual_AgV!C15),NOT(ISNUMBER(Calc_AgV!C15))),"só manual","sem valor")))</f>
        <v>1</v>
      </c>
      <c r="D15" s="12">
        <f>IF(AND(ISNUMBER(Calc_AgV!D15),ISNUMBER(Manual_AgV!D15)),Calc_AgV!D15/Manual_AgV!D15,IF(AND(ISNUMBER(Calc_AgV!D15),NOT(ISNUMBER(Manual_AgV!D15))),"só calc",IF(AND(ISNUMBER(Manual_AgV!D15),NOT(ISNUMBER(Calc_AgV!D15))),"só manual","sem valor")))</f>
        <v>1.0132005734657359</v>
      </c>
      <c r="E15" s="12">
        <f>IF(AND(ISNUMBER(Calc_AgV!E15),ISNUMBER(Manual_AgV!E15)),Calc_AgV!E15/Manual_AgV!E15,IF(AND(ISNUMBER(Calc_AgV!E15),NOT(ISNUMBER(Manual_AgV!E15))),"só calc",IF(AND(ISNUMBER(Manual_AgV!E15),NOT(ISNUMBER(Calc_AgV!E15))),"só manual","sem valor")))</f>
        <v>1</v>
      </c>
      <c r="F15" s="12">
        <f>IF(AND(ISNUMBER(Calc_AgV!F15),ISNUMBER(Manual_AgV!F15)),Calc_AgV!F15/Manual_AgV!F15,IF(AND(ISNUMBER(Calc_AgV!F15),NOT(ISNUMBER(Manual_AgV!F15))),"só calc",IF(AND(ISNUMBER(Manual_AgV!F15),NOT(ISNUMBER(Calc_AgV!F15))),"só manual","sem valor")))</f>
        <v>0.99743944009707231</v>
      </c>
      <c r="G15" s="12">
        <f>IF(AND(ISNUMBER(Calc_AgV!G15),ISNUMBER(Manual_AgV!G15)),Calc_AgV!G15/Manual_AgV!G15,IF(AND(ISNUMBER(Calc_AgV!G15),NOT(ISNUMBER(Manual_AgV!G15))),"só calc",IF(AND(ISNUMBER(Manual_AgV!G15),NOT(ISNUMBER(Calc_AgV!G15))),"só manual","sem valor")))</f>
        <v>1</v>
      </c>
      <c r="H15" s="12">
        <f>IF(AND(ISNUMBER(Calc_AgV!H15),ISNUMBER(Manual_AgV!H15)),Calc_AgV!H15/Manual_AgV!H15,IF(AND(ISNUMBER(Calc_AgV!H15),NOT(ISNUMBER(Manual_AgV!H15))),"só calc",IF(AND(ISNUMBER(Manual_AgV!H15),NOT(ISNUMBER(Calc_AgV!H15))),"só manual","sem valor")))</f>
        <v>1.0041220031876987</v>
      </c>
      <c r="I15" s="12">
        <f>IF(AND(ISNUMBER(Calc_AgV!I15),ISNUMBER(Manual_AgV!I15)),Calc_AgV!I15/Manual_AgV!I15,IF(AND(ISNUMBER(Calc_AgV!I15),NOT(ISNUMBER(Manual_AgV!I15))),"só calc",IF(AND(ISNUMBER(Manual_AgV!I15),NOT(ISNUMBER(Calc_AgV!I15))),"só manual","sem valor")))</f>
        <v>1</v>
      </c>
      <c r="J15" s="12">
        <f>IF(AND(ISNUMBER(Calc_AgV!J15),ISNUMBER(Manual_AgV!J15)),Calc_AgV!J15/Manual_AgV!J15,IF(AND(ISNUMBER(Calc_AgV!J15),NOT(ISNUMBER(Manual_AgV!J15))),"só calc",IF(AND(ISNUMBER(Manual_AgV!J15),NOT(ISNUMBER(Calc_AgV!J15))),"só manual","sem valor")))</f>
        <v>1.0002777819093271</v>
      </c>
      <c r="K15" s="12">
        <f>IF(AND(ISNUMBER(Calc_AgV!K15),ISNUMBER(Manual_AgV!K15)),Calc_AgV!K15/Manual_AgV!K15,IF(AND(ISNUMBER(Calc_AgV!K15),NOT(ISNUMBER(Manual_AgV!K15))),"só calc",IF(AND(ISNUMBER(Manual_AgV!K15),NOT(ISNUMBER(Calc_AgV!K15))),"só manual","sem valor")))</f>
        <v>1</v>
      </c>
      <c r="L15" s="12">
        <f>IF(AND(ISNUMBER(Calc_AgV!L15),ISNUMBER(Manual_AgV!L15)),Calc_AgV!L15/Manual_AgV!L15,IF(AND(ISNUMBER(Calc_AgV!L15),NOT(ISNUMBER(Manual_AgV!L15))),"só calc",IF(AND(ISNUMBER(Manual_AgV!L15),NOT(ISNUMBER(Calc_AgV!L15))),"só manual","sem valor")))</f>
        <v>1.0019977264970779</v>
      </c>
      <c r="M15" s="12">
        <f>IF(AND(ISNUMBER(Calc_AgV!M15),ISNUMBER(Manual_AgV!M15)),Calc_AgV!M15/Manual_AgV!M15,IF(AND(ISNUMBER(Calc_AgV!M15),NOT(ISNUMBER(Manual_AgV!M15))),"só calc",IF(AND(ISNUMBER(Manual_AgV!M15),NOT(ISNUMBER(Calc_AgV!M15))),"só manual","sem valor")))</f>
        <v>1</v>
      </c>
      <c r="N15" s="12">
        <f>IF(AND(ISNUMBER(Calc_AgV!N15),ISNUMBER(Manual_AgV!N15)),Calc_AgV!N15/Manual_AgV!N15,IF(AND(ISNUMBER(Calc_AgV!N15),NOT(ISNUMBER(Manual_AgV!N15))),"só calc",IF(AND(ISNUMBER(Manual_AgV!N15),NOT(ISNUMBER(Calc_AgV!N15))),"só manual","sem valor")))</f>
        <v>1.0001796552086211</v>
      </c>
      <c r="O15" s="12">
        <f>IF(AND(ISNUMBER(Calc_AgV!O15),ISNUMBER(Manual_AgV!O15)),Calc_AgV!O15/Manual_AgV!O15,IF(AND(ISNUMBER(Calc_AgV!O15),NOT(ISNUMBER(Manual_AgV!O15))),"só calc",IF(AND(ISNUMBER(Manual_AgV!O15),NOT(ISNUMBER(Calc_AgV!O15))),"só manual","sem valor")))</f>
        <v>1</v>
      </c>
      <c r="P15" s="12">
        <f>IF(AND(ISNUMBER(Calc_AgV!P15),ISNUMBER(Manual_AgV!P15)),Calc_AgV!P15/Manual_AgV!P15,IF(AND(ISNUMBER(Calc_AgV!P15),NOT(ISNUMBER(Manual_AgV!P15))),"só calc",IF(AND(ISNUMBER(Manual_AgV!P15),NOT(ISNUMBER(Calc_AgV!P15))),"só manual","sem valor")))</f>
        <v>1.0021134158792302</v>
      </c>
      <c r="Q15" s="12">
        <f>IF(AND(ISNUMBER(Calc_AgV!Q15),ISNUMBER(Manual_AgV!Q15)),Calc_AgV!Q15/Manual_AgV!Q15,IF(AND(ISNUMBER(Calc_AgV!Q15),NOT(ISNUMBER(Manual_AgV!Q15))),"só calc",IF(AND(ISNUMBER(Manual_AgV!Q15),NOT(ISNUMBER(Calc_AgV!Q15))),"só manual","sem valor")))</f>
        <v>1</v>
      </c>
      <c r="R15" s="12">
        <f>IF(AND(ISNUMBER(Calc_AgV!R15),ISNUMBER(Manual_AgV!R15)),Calc_AgV!R15/Manual_AgV!R15,IF(AND(ISNUMBER(Calc_AgV!R15),NOT(ISNUMBER(Manual_AgV!R15))),"só calc",IF(AND(ISNUMBER(Manual_AgV!R15),NOT(ISNUMBER(Calc_AgV!R15))),"só manual","sem valor")))</f>
        <v>1.0000146870754119</v>
      </c>
      <c r="S15" s="12">
        <f>IF(AND(ISNUMBER(Calc_AgV!S15),ISNUMBER(Manual_AgV!S15)),Calc_AgV!S15/Manual_AgV!S15,IF(AND(ISNUMBER(Calc_AgV!S15),NOT(ISNUMBER(Manual_AgV!S15))),"só calc",IF(AND(ISNUMBER(Manual_AgV!S15),NOT(ISNUMBER(Calc_AgV!S15))),"só manual","sem valor")))</f>
        <v>1</v>
      </c>
      <c r="T15" s="12">
        <f>IF(AND(ISNUMBER(Calc_AgV!T15),ISNUMBER(Manual_AgV!T15)),Calc_AgV!T15/Manual_AgV!T15,IF(AND(ISNUMBER(Calc_AgV!T15),NOT(ISNUMBER(Manual_AgV!T15))),"só calc",IF(AND(ISNUMBER(Manual_AgV!T15),NOT(ISNUMBER(Calc_AgV!T15))),"só manual","sem valor")))</f>
        <v>0.99940204604534022</v>
      </c>
      <c r="U15" s="12">
        <f>IF(AND(ISNUMBER(Calc_AgV!U15),ISNUMBER(Manual_AgV!U15)),Calc_AgV!U15/Manual_AgV!U15,IF(AND(ISNUMBER(Calc_AgV!U15),NOT(ISNUMBER(Manual_AgV!U15))),"só calc",IF(AND(ISNUMBER(Manual_AgV!U15),NOT(ISNUMBER(Calc_AgV!U15))),"só manual","sem valor")))</f>
        <v>1</v>
      </c>
      <c r="V15" s="12">
        <f>IF(AND(ISNUMBER(Calc_AgV!V15),ISNUMBER(Manual_AgV!V15)),Calc_AgV!V15/Manual_AgV!V15,IF(AND(ISNUMBER(Calc_AgV!V15),NOT(ISNUMBER(Manual_AgV!V15))),"só calc",IF(AND(ISNUMBER(Manual_AgV!V15),NOT(ISNUMBER(Calc_AgV!V15))),"só manual","sem valor")))</f>
        <v>1.0001885595535469</v>
      </c>
      <c r="W15" s="12">
        <f>IF(AND(ISNUMBER(Calc_AgV!W15),ISNUMBER(Manual_AgV!W15)),Calc_AgV!W15/Manual_AgV!W15,IF(AND(ISNUMBER(Calc_AgV!W15),NOT(ISNUMBER(Manual_AgV!W15))),"só calc",IF(AND(ISNUMBER(Manual_AgV!W15),NOT(ISNUMBER(Calc_AgV!W15))),"só manual","sem valor")))</f>
        <v>1</v>
      </c>
      <c r="X15" s="12">
        <f>IF(AND(ISNUMBER(Calc_AgV!X15),ISNUMBER(Manual_AgV!X15)),Calc_AgV!X15/Manual_AgV!X15,IF(AND(ISNUMBER(Calc_AgV!X15),NOT(ISNUMBER(Manual_AgV!X15))),"só calc",IF(AND(ISNUMBER(Manual_AgV!X15),NOT(ISNUMBER(Calc_AgV!X15))),"só manual","sem valor")))</f>
        <v>0.99923083695181425</v>
      </c>
      <c r="Y15" s="12">
        <f>IF(AND(ISNUMBER(Calc_AgV!Y15),ISNUMBER(Manual_AgV!Y15)),Calc_AgV!Y15/Manual_AgV!Y15,IF(AND(ISNUMBER(Calc_AgV!Y15),NOT(ISNUMBER(Manual_AgV!Y15))),"só calc",IF(AND(ISNUMBER(Manual_AgV!Y15),NOT(ISNUMBER(Calc_AgV!Y15))),"só manual","sem valor")))</f>
        <v>1</v>
      </c>
      <c r="Z15" s="12">
        <f>IF(AND(ISNUMBER(Calc_AgV!Z15),ISNUMBER(Manual_AgV!Z15)),Calc_AgV!Z15/Manual_AgV!Z15,IF(AND(ISNUMBER(Calc_AgV!Z15),NOT(ISNUMBER(Manual_AgV!Z15))),"só calc",IF(AND(ISNUMBER(Manual_AgV!Z15),NOT(ISNUMBER(Calc_AgV!Z15))),"só manual","sem valor")))</f>
        <v>0.99769019144809701</v>
      </c>
    </row>
    <row r="16" spans="1:26" x14ac:dyDescent="0.25">
      <c r="A16" s="11" t="s">
        <v>59</v>
      </c>
      <c r="B16" s="11" t="str">
        <f>Calc_AgV!B16</f>
        <v>R11</v>
      </c>
      <c r="C16" s="12">
        <f>IF(AND(ISNUMBER(Calc_AgV!C16),ISNUMBER(Manual_AgV!C16)),Calc_AgV!C16/Manual_AgV!C16,IF(AND(ISNUMBER(Calc_AgV!C16),NOT(ISNUMBER(Manual_AgV!C16))),"só calc",IF(AND(ISNUMBER(Manual_AgV!C16),NOT(ISNUMBER(Calc_AgV!C16))),"só manual","sem valor")))</f>
        <v>1</v>
      </c>
      <c r="D16" s="12">
        <f>IF(AND(ISNUMBER(Calc_AgV!D16),ISNUMBER(Manual_AgV!D16)),Calc_AgV!D16/Manual_AgV!D16,IF(AND(ISNUMBER(Calc_AgV!D16),NOT(ISNUMBER(Manual_AgV!D16))),"só calc",IF(AND(ISNUMBER(Manual_AgV!D16),NOT(ISNUMBER(Calc_AgV!D16))),"só manual","sem valor")))</f>
        <v>1.0093831504610324</v>
      </c>
      <c r="E16" s="12">
        <f>IF(AND(ISNUMBER(Calc_AgV!E16),ISNUMBER(Manual_AgV!E16)),Calc_AgV!E16/Manual_AgV!E16,IF(AND(ISNUMBER(Calc_AgV!E16),NOT(ISNUMBER(Manual_AgV!E16))),"só calc",IF(AND(ISNUMBER(Manual_AgV!E16),NOT(ISNUMBER(Calc_AgV!E16))),"só manual","sem valor")))</f>
        <v>1</v>
      </c>
      <c r="F16" s="12">
        <f>IF(AND(ISNUMBER(Calc_AgV!F16),ISNUMBER(Manual_AgV!F16)),Calc_AgV!F16/Manual_AgV!F16,IF(AND(ISNUMBER(Calc_AgV!F16),NOT(ISNUMBER(Manual_AgV!F16))),"só calc",IF(AND(ISNUMBER(Manual_AgV!F16),NOT(ISNUMBER(Calc_AgV!F16))),"só manual","sem valor")))</f>
        <v>0.99261360853734892</v>
      </c>
      <c r="G16" s="12">
        <f>IF(AND(ISNUMBER(Calc_AgV!G16),ISNUMBER(Manual_AgV!G16)),Calc_AgV!G16/Manual_AgV!G16,IF(AND(ISNUMBER(Calc_AgV!G16),NOT(ISNUMBER(Manual_AgV!G16))),"só calc",IF(AND(ISNUMBER(Manual_AgV!G16),NOT(ISNUMBER(Calc_AgV!G16))),"só manual","sem valor")))</f>
        <v>1</v>
      </c>
      <c r="H16" s="12">
        <f>IF(AND(ISNUMBER(Calc_AgV!H16),ISNUMBER(Manual_AgV!H16)),Calc_AgV!H16/Manual_AgV!H16,IF(AND(ISNUMBER(Calc_AgV!H16),NOT(ISNUMBER(Manual_AgV!H16))),"só calc",IF(AND(ISNUMBER(Manual_AgV!H16),NOT(ISNUMBER(Calc_AgV!H16))),"só manual","sem valor")))</f>
        <v>0.99978102606248009</v>
      </c>
      <c r="I16" s="12">
        <f>IF(AND(ISNUMBER(Calc_AgV!I16),ISNUMBER(Manual_AgV!I16)),Calc_AgV!I16/Manual_AgV!I16,IF(AND(ISNUMBER(Calc_AgV!I16),NOT(ISNUMBER(Manual_AgV!I16))),"só calc",IF(AND(ISNUMBER(Manual_AgV!I16),NOT(ISNUMBER(Calc_AgV!I16))),"só manual","sem valor")))</f>
        <v>1</v>
      </c>
      <c r="J16" s="12">
        <f>IF(AND(ISNUMBER(Calc_AgV!J16),ISNUMBER(Manual_AgV!J16)),Calc_AgV!J16/Manual_AgV!J16,IF(AND(ISNUMBER(Calc_AgV!J16),NOT(ISNUMBER(Manual_AgV!J16))),"só calc",IF(AND(ISNUMBER(Manual_AgV!J16),NOT(ISNUMBER(Calc_AgV!J16))),"só manual","sem valor")))</f>
        <v>0.99996158737421204</v>
      </c>
      <c r="K16" s="12">
        <f>IF(AND(ISNUMBER(Calc_AgV!K16),ISNUMBER(Manual_AgV!K16)),Calc_AgV!K16/Manual_AgV!K16,IF(AND(ISNUMBER(Calc_AgV!K16),NOT(ISNUMBER(Manual_AgV!K16))),"só calc",IF(AND(ISNUMBER(Manual_AgV!K16),NOT(ISNUMBER(Calc_AgV!K16))),"só manual","sem valor")))</f>
        <v>1</v>
      </c>
      <c r="L16" s="12">
        <f>IF(AND(ISNUMBER(Calc_AgV!L16),ISNUMBER(Manual_AgV!L16)),Calc_AgV!L16/Manual_AgV!L16,IF(AND(ISNUMBER(Calc_AgV!L16),NOT(ISNUMBER(Manual_AgV!L16))),"só calc",IF(AND(ISNUMBER(Manual_AgV!L16),NOT(ISNUMBER(Calc_AgV!L16))),"só manual","sem valor")))</f>
        <v>1.0010272371168083</v>
      </c>
      <c r="M16" s="12">
        <f>IF(AND(ISNUMBER(Calc_AgV!M16),ISNUMBER(Manual_AgV!M16)),Calc_AgV!M16/Manual_AgV!M16,IF(AND(ISNUMBER(Calc_AgV!M16),NOT(ISNUMBER(Manual_AgV!M16))),"só calc",IF(AND(ISNUMBER(Manual_AgV!M16),NOT(ISNUMBER(Calc_AgV!M16))),"só manual","sem valor")))</f>
        <v>1</v>
      </c>
      <c r="N16" s="12">
        <f>IF(AND(ISNUMBER(Calc_AgV!N16),ISNUMBER(Manual_AgV!N16)),Calc_AgV!N16/Manual_AgV!N16,IF(AND(ISNUMBER(Calc_AgV!N16),NOT(ISNUMBER(Manual_AgV!N16))),"só calc",IF(AND(ISNUMBER(Manual_AgV!N16),NOT(ISNUMBER(Calc_AgV!N16))),"só manual","sem valor")))</f>
        <v>1.0001216234443226</v>
      </c>
      <c r="O16" s="12">
        <f>IF(AND(ISNUMBER(Calc_AgV!O16),ISNUMBER(Manual_AgV!O16)),Calc_AgV!O16/Manual_AgV!O16,IF(AND(ISNUMBER(Calc_AgV!O16),NOT(ISNUMBER(Manual_AgV!O16))),"só calc",IF(AND(ISNUMBER(Manual_AgV!O16),NOT(ISNUMBER(Calc_AgV!O16))),"só manual","sem valor")))</f>
        <v>1</v>
      </c>
      <c r="P16" s="12">
        <f>IF(AND(ISNUMBER(Calc_AgV!P16),ISNUMBER(Manual_AgV!P16)),Calc_AgV!P16/Manual_AgV!P16,IF(AND(ISNUMBER(Calc_AgV!P16),NOT(ISNUMBER(Manual_AgV!P16))),"só calc",IF(AND(ISNUMBER(Manual_AgV!P16),NOT(ISNUMBER(Calc_AgV!P16))),"só manual","sem valor")))</f>
        <v>0.9990530193836975</v>
      </c>
      <c r="Q16" s="12">
        <f>IF(AND(ISNUMBER(Calc_AgV!Q16),ISNUMBER(Manual_AgV!Q16)),Calc_AgV!Q16/Manual_AgV!Q16,IF(AND(ISNUMBER(Calc_AgV!Q16),NOT(ISNUMBER(Manual_AgV!Q16))),"só calc",IF(AND(ISNUMBER(Manual_AgV!Q16),NOT(ISNUMBER(Calc_AgV!Q16))),"só manual","sem valor")))</f>
        <v>1</v>
      </c>
      <c r="R16" s="12">
        <f>IF(AND(ISNUMBER(Calc_AgV!R16),ISNUMBER(Manual_AgV!R16)),Calc_AgV!R16/Manual_AgV!R16,IF(AND(ISNUMBER(Calc_AgV!R16),NOT(ISNUMBER(Manual_AgV!R16))),"só calc",IF(AND(ISNUMBER(Manual_AgV!R16),NOT(ISNUMBER(Calc_AgV!R16))),"só manual","sem valor")))</f>
        <v>1.0000100172050064</v>
      </c>
      <c r="S16" s="12">
        <f>IF(AND(ISNUMBER(Calc_AgV!S16),ISNUMBER(Manual_AgV!S16)),Calc_AgV!S16/Manual_AgV!S16,IF(AND(ISNUMBER(Calc_AgV!S16),NOT(ISNUMBER(Manual_AgV!S16))),"só calc",IF(AND(ISNUMBER(Manual_AgV!S16),NOT(ISNUMBER(Calc_AgV!S16))),"só manual","sem valor")))</f>
        <v>1</v>
      </c>
      <c r="T16" s="12">
        <f>IF(AND(ISNUMBER(Calc_AgV!T16),ISNUMBER(Manual_AgV!T16)),Calc_AgV!T16/Manual_AgV!T16,IF(AND(ISNUMBER(Calc_AgV!T16),NOT(ISNUMBER(Manual_AgV!T16))),"só calc",IF(AND(ISNUMBER(Manual_AgV!T16),NOT(ISNUMBER(Calc_AgV!T16))),"só manual","sem valor")))</f>
        <v>1.0003621920059587</v>
      </c>
      <c r="U16" s="12">
        <f>IF(AND(ISNUMBER(Calc_AgV!U16),ISNUMBER(Manual_AgV!U16)),Calc_AgV!U16/Manual_AgV!U16,IF(AND(ISNUMBER(Calc_AgV!U16),NOT(ISNUMBER(Manual_AgV!U16))),"só calc",IF(AND(ISNUMBER(Manual_AgV!U16),NOT(ISNUMBER(Calc_AgV!U16))),"só manual","sem valor")))</f>
        <v>1</v>
      </c>
      <c r="V16" s="12">
        <f>IF(AND(ISNUMBER(Calc_AgV!V16),ISNUMBER(Manual_AgV!V16)),Calc_AgV!V16/Manual_AgV!V16,IF(AND(ISNUMBER(Calc_AgV!V16),NOT(ISNUMBER(Manual_AgV!V16))),"só calc",IF(AND(ISNUMBER(Manual_AgV!V16),NOT(ISNUMBER(Calc_AgV!V16))),"só manual","sem valor")))</f>
        <v>0.99916214889852983</v>
      </c>
      <c r="W16" s="12">
        <f>IF(AND(ISNUMBER(Calc_AgV!W16),ISNUMBER(Manual_AgV!W16)),Calc_AgV!W16/Manual_AgV!W16,IF(AND(ISNUMBER(Calc_AgV!W16),NOT(ISNUMBER(Manual_AgV!W16))),"só calc",IF(AND(ISNUMBER(Manual_AgV!W16),NOT(ISNUMBER(Calc_AgV!W16))),"só manual","sem valor")))</f>
        <v>1</v>
      </c>
      <c r="X16" s="12">
        <f>IF(AND(ISNUMBER(Calc_AgV!X16),ISNUMBER(Manual_AgV!X16)),Calc_AgV!X16/Manual_AgV!X16,IF(AND(ISNUMBER(Calc_AgV!X16),NOT(ISNUMBER(Manual_AgV!X16))),"só calc",IF(AND(ISNUMBER(Manual_AgV!X16),NOT(ISNUMBER(Calc_AgV!X16))),"só manual","sem valor")))</f>
        <v>0.99983651749274416</v>
      </c>
      <c r="Y16" s="12">
        <f>IF(AND(ISNUMBER(Calc_AgV!Y16),ISNUMBER(Manual_AgV!Y16)),Calc_AgV!Y16/Manual_AgV!Y16,IF(AND(ISNUMBER(Calc_AgV!Y16),NOT(ISNUMBER(Manual_AgV!Y16))),"só calc",IF(AND(ISNUMBER(Manual_AgV!Y16),NOT(ISNUMBER(Calc_AgV!Y16))),"só manual","sem valor")))</f>
        <v>1</v>
      </c>
      <c r="Z16" s="12">
        <f>IF(AND(ISNUMBER(Calc_AgV!Z16),ISNUMBER(Manual_AgV!Z16)),Calc_AgV!Z16/Manual_AgV!Z16,IF(AND(ISNUMBER(Calc_AgV!Z16),NOT(ISNUMBER(Manual_AgV!Z16))),"só calc",IF(AND(ISNUMBER(Manual_AgV!Z16),NOT(ISNUMBER(Calc_AgV!Z16))),"só manual","sem valor")))</f>
        <v>1.0022867950464744</v>
      </c>
    </row>
    <row r="18" spans="1:26" x14ac:dyDescent="0.25">
      <c r="A18" s="9" t="s">
        <v>60</v>
      </c>
      <c r="B18" s="13"/>
      <c r="C18" s="10">
        <f t="shared" ref="C18:Z18" si="0">IF(COUNT(C7:C16)&gt;=2,AVERAGE(C7:C16),"—")</f>
        <v>1</v>
      </c>
      <c r="D18" s="10">
        <f t="shared" si="0"/>
        <v>1.0071744052225349</v>
      </c>
      <c r="E18" s="10">
        <f t="shared" si="0"/>
        <v>1</v>
      </c>
      <c r="F18" s="10">
        <f t="shared" si="0"/>
        <v>0.99981312552348933</v>
      </c>
      <c r="G18" s="10">
        <f t="shared" si="0"/>
        <v>1</v>
      </c>
      <c r="H18" s="10">
        <f t="shared" si="0"/>
        <v>1.0013334318608942</v>
      </c>
      <c r="I18" s="10">
        <f t="shared" si="0"/>
        <v>1</v>
      </c>
      <c r="J18" s="10">
        <f t="shared" si="0"/>
        <v>0.99995472944706076</v>
      </c>
      <c r="K18" s="10">
        <f t="shared" si="0"/>
        <v>1</v>
      </c>
      <c r="L18" s="10">
        <f t="shared" si="0"/>
        <v>1.0004198597205458</v>
      </c>
      <c r="M18" s="10">
        <f t="shared" si="0"/>
        <v>1</v>
      </c>
      <c r="N18" s="10">
        <f t="shared" si="0"/>
        <v>1.0000301068585349</v>
      </c>
      <c r="O18" s="10">
        <f t="shared" si="0"/>
        <v>1</v>
      </c>
      <c r="P18" s="10">
        <f t="shared" si="0"/>
        <v>1.0001877481933303</v>
      </c>
      <c r="Q18" s="10">
        <f t="shared" si="0"/>
        <v>1</v>
      </c>
      <c r="R18" s="10">
        <f t="shared" si="0"/>
        <v>0.99999173941779129</v>
      </c>
      <c r="S18" s="10">
        <f t="shared" si="0"/>
        <v>1</v>
      </c>
      <c r="T18" s="10">
        <f t="shared" si="0"/>
        <v>0.99992596885111751</v>
      </c>
      <c r="U18" s="10">
        <f t="shared" si="0"/>
        <v>1</v>
      </c>
      <c r="V18" s="10">
        <f t="shared" si="0"/>
        <v>1.0004190508534729</v>
      </c>
      <c r="W18" s="10">
        <f t="shared" si="0"/>
        <v>1</v>
      </c>
      <c r="X18" s="10">
        <f t="shared" si="0"/>
        <v>1.0000857364969034</v>
      </c>
      <c r="Y18" s="10">
        <f t="shared" si="0"/>
        <v>1</v>
      </c>
      <c r="Z18" s="10">
        <f t="shared" si="0"/>
        <v>0.99992065245491824</v>
      </c>
    </row>
    <row r="19" spans="1:26" x14ac:dyDescent="0.25">
      <c r="A19" s="9" t="s">
        <v>61</v>
      </c>
      <c r="B19" s="13"/>
      <c r="C19" s="10">
        <f t="shared" ref="C19:Z19" si="1">IF(COUNT(C7:C16)&gt;=2,STDEV(C7:C16),"—")</f>
        <v>0</v>
      </c>
      <c r="D19" s="10">
        <f t="shared" si="1"/>
        <v>3.5248066040963469E-3</v>
      </c>
      <c r="E19" s="10">
        <f t="shared" si="1"/>
        <v>0</v>
      </c>
      <c r="F19" s="10">
        <f t="shared" si="1"/>
        <v>4.2751011088047047E-3</v>
      </c>
      <c r="G19" s="10">
        <f t="shared" si="1"/>
        <v>0</v>
      </c>
      <c r="H19" s="10">
        <f t="shared" si="1"/>
        <v>2.9089132844233156E-3</v>
      </c>
      <c r="I19" s="10">
        <f t="shared" si="1"/>
        <v>0</v>
      </c>
      <c r="J19" s="10">
        <f t="shared" si="1"/>
        <v>2.5970041657596645E-4</v>
      </c>
      <c r="K19" s="10">
        <f t="shared" si="1"/>
        <v>0</v>
      </c>
      <c r="L19" s="10">
        <f t="shared" si="1"/>
        <v>1.2471945471341378E-3</v>
      </c>
      <c r="M19" s="10">
        <f t="shared" si="1"/>
        <v>0</v>
      </c>
      <c r="N19" s="10">
        <f t="shared" si="1"/>
        <v>3.0503976080983094E-4</v>
      </c>
      <c r="O19" s="10">
        <f t="shared" si="1"/>
        <v>0</v>
      </c>
      <c r="P19" s="10">
        <f t="shared" si="1"/>
        <v>1.4520533371643997E-3</v>
      </c>
      <c r="Q19" s="10">
        <f t="shared" si="1"/>
        <v>0</v>
      </c>
      <c r="R19" s="10">
        <f t="shared" si="1"/>
        <v>2.6175937804788137E-5</v>
      </c>
      <c r="S19" s="10">
        <f t="shared" si="1"/>
        <v>0</v>
      </c>
      <c r="T19" s="10">
        <f t="shared" si="1"/>
        <v>9.807588380838601E-4</v>
      </c>
      <c r="U19" s="10">
        <f t="shared" si="1"/>
        <v>0</v>
      </c>
      <c r="V19" s="10">
        <f t="shared" si="1"/>
        <v>1.2107853495785079E-3</v>
      </c>
      <c r="W19" s="10">
        <f t="shared" si="1"/>
        <v>0</v>
      </c>
      <c r="X19" s="10">
        <f t="shared" si="1"/>
        <v>1.0778200232726895E-3</v>
      </c>
      <c r="Y19" s="10">
        <f t="shared" si="1"/>
        <v>0</v>
      </c>
      <c r="Z19" s="10">
        <f t="shared" si="1"/>
        <v>2.4272445287885258E-3</v>
      </c>
    </row>
    <row r="20" spans="1:26" x14ac:dyDescent="0.25">
      <c r="A20" s="9" t="s">
        <v>62</v>
      </c>
      <c r="B20" s="13"/>
      <c r="C20" s="10">
        <f t="shared" ref="C20:Z20" si="2">IF(COUNT(C7:C16)&gt;=2,MIN(C7:C16),"—")</f>
        <v>1</v>
      </c>
      <c r="D20" s="10">
        <f t="shared" si="2"/>
        <v>0.99954816904147581</v>
      </c>
      <c r="E20" s="10">
        <f t="shared" si="2"/>
        <v>1</v>
      </c>
      <c r="F20" s="10">
        <f t="shared" si="2"/>
        <v>0.99261360853734892</v>
      </c>
      <c r="G20" s="10">
        <f t="shared" si="2"/>
        <v>1</v>
      </c>
      <c r="H20" s="10">
        <f t="shared" si="2"/>
        <v>0.99731677325530377</v>
      </c>
      <c r="I20" s="10">
        <f t="shared" si="2"/>
        <v>1</v>
      </c>
      <c r="J20" s="10">
        <f t="shared" si="2"/>
        <v>0.99945636896964907</v>
      </c>
      <c r="K20" s="10">
        <f t="shared" si="2"/>
        <v>1</v>
      </c>
      <c r="L20" s="10">
        <f t="shared" si="2"/>
        <v>0.99820607766862612</v>
      </c>
      <c r="M20" s="10">
        <f t="shared" si="2"/>
        <v>1</v>
      </c>
      <c r="N20" s="10">
        <f t="shared" si="2"/>
        <v>0.99936698970270688</v>
      </c>
      <c r="O20" s="10">
        <f t="shared" si="2"/>
        <v>1</v>
      </c>
      <c r="P20" s="10">
        <f t="shared" si="2"/>
        <v>0.99820006447377074</v>
      </c>
      <c r="Q20" s="10">
        <f t="shared" si="2"/>
        <v>1</v>
      </c>
      <c r="R20" s="10">
        <f t="shared" si="2"/>
        <v>0.99993668524408397</v>
      </c>
      <c r="S20" s="10">
        <f t="shared" si="2"/>
        <v>1</v>
      </c>
      <c r="T20" s="10">
        <f t="shared" si="2"/>
        <v>0.99859853283316424</v>
      </c>
      <c r="U20" s="10">
        <f t="shared" si="2"/>
        <v>1</v>
      </c>
      <c r="V20" s="10">
        <f t="shared" si="2"/>
        <v>0.99772928560345575</v>
      </c>
      <c r="W20" s="10">
        <f t="shared" si="2"/>
        <v>1</v>
      </c>
      <c r="X20" s="10">
        <f t="shared" si="2"/>
        <v>0.99823657202669036</v>
      </c>
      <c r="Y20" s="10">
        <f t="shared" si="2"/>
        <v>1</v>
      </c>
      <c r="Z20" s="10">
        <f t="shared" si="2"/>
        <v>0.99668946740438424</v>
      </c>
    </row>
    <row r="21" spans="1:26" x14ac:dyDescent="0.25">
      <c r="A21" s="9" t="s">
        <v>63</v>
      </c>
      <c r="B21" s="13"/>
      <c r="C21" s="10">
        <f t="shared" ref="C21:Z21" si="3">IF(COUNT(C7:C16)&gt;=2,MAX(C7:C16),"—")</f>
        <v>1</v>
      </c>
      <c r="D21" s="10">
        <f t="shared" si="3"/>
        <v>1.0132005734657359</v>
      </c>
      <c r="E21" s="10">
        <f t="shared" si="3"/>
        <v>1</v>
      </c>
      <c r="F21" s="10">
        <f t="shared" si="3"/>
        <v>1.0060987502641896</v>
      </c>
      <c r="G21" s="10">
        <f t="shared" si="3"/>
        <v>1</v>
      </c>
      <c r="H21" s="10">
        <f t="shared" si="3"/>
        <v>1.0054283587926076</v>
      </c>
      <c r="I21" s="10">
        <f t="shared" si="3"/>
        <v>1</v>
      </c>
      <c r="J21" s="10">
        <f t="shared" si="3"/>
        <v>1.0002777819093271</v>
      </c>
      <c r="K21" s="10">
        <f t="shared" si="3"/>
        <v>1</v>
      </c>
      <c r="L21" s="10">
        <f t="shared" si="3"/>
        <v>1.0025849494358234</v>
      </c>
      <c r="M21" s="10">
        <f t="shared" si="3"/>
        <v>1</v>
      </c>
      <c r="N21" s="10">
        <f t="shared" si="3"/>
        <v>1.0004446959065287</v>
      </c>
      <c r="O21" s="10">
        <f t="shared" si="3"/>
        <v>1</v>
      </c>
      <c r="P21" s="10">
        <f t="shared" si="3"/>
        <v>1.0021885548559637</v>
      </c>
      <c r="Q21" s="10">
        <f t="shared" si="3"/>
        <v>1</v>
      </c>
      <c r="R21" s="10">
        <f t="shared" si="3"/>
        <v>1.0000282978277306</v>
      </c>
      <c r="S21" s="10">
        <f t="shared" si="3"/>
        <v>1</v>
      </c>
      <c r="T21" s="10">
        <f t="shared" si="3"/>
        <v>1.0015920347996874</v>
      </c>
      <c r="U21" s="10">
        <f t="shared" si="3"/>
        <v>1</v>
      </c>
      <c r="V21" s="10">
        <f t="shared" si="3"/>
        <v>1.0015670637307963</v>
      </c>
      <c r="W21" s="10">
        <f t="shared" si="3"/>
        <v>1</v>
      </c>
      <c r="X21" s="10">
        <f t="shared" si="3"/>
        <v>1.0015899541644442</v>
      </c>
      <c r="Y21" s="10">
        <f t="shared" si="3"/>
        <v>1</v>
      </c>
      <c r="Z21" s="10">
        <f t="shared" si="3"/>
        <v>1.0035642490778793</v>
      </c>
    </row>
  </sheetData>
  <mergeCells count="12">
    <mergeCell ref="M3:N3"/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Y3:Z3"/>
  </mergeCells>
  <conditionalFormatting sqref="C5:Z16">
    <cfRule type="expression" dxfId="6" priority="3">
      <formula>ISTEXT(C5)</formula>
    </cfRule>
  </conditionalFormatting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100-000001000000}">
            <xm:f>AND(ISNUMBER(C5),ABS(C5-1)&lt;='Leia-me'!$B$6)</xm:f>
            <x14:dxf>
              <fill>
                <patternFill patternType="solid">
                  <fgColor rgb="FFC6EFCE"/>
                </patternFill>
              </fill>
            </x14:dxf>
          </x14:cfRule>
          <x14:cfRule type="expression" priority="2" id="{00000000-000E-0000-0100-000002000000}">
            <xm:f>AND(ISNUMBER(C5),ABS(C5-1)&gt;'Leia-me'!$B$6)</xm:f>
            <x14:dxf>
              <fill>
                <patternFill patternType="solid">
                  <fgColor rgb="FFFFC7CE"/>
                </patternFill>
              </fill>
            </x14:dxf>
          </x14:cfRule>
          <xm:sqref>C5:Z16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18" customWidth="1"/>
    <col min="3" max="24" width="10" customWidth="1"/>
  </cols>
  <sheetData>
    <row r="1" spans="1:24" ht="16.5" x14ac:dyDescent="0.25">
      <c r="A1" s="1" t="s">
        <v>64</v>
      </c>
    </row>
    <row r="2" spans="1:24" x14ac:dyDescent="0.25">
      <c r="A2" s="7" t="s">
        <v>31</v>
      </c>
    </row>
    <row r="3" spans="1:24" x14ac:dyDescent="0.25">
      <c r="A3" s="8"/>
      <c r="B3" s="8"/>
      <c r="C3" s="17" t="s">
        <v>33</v>
      </c>
      <c r="D3" s="17"/>
      <c r="E3" s="17" t="s">
        <v>34</v>
      </c>
      <c r="F3" s="17"/>
      <c r="G3" s="17" t="s">
        <v>35</v>
      </c>
      <c r="H3" s="17"/>
      <c r="I3" s="17" t="s">
        <v>36</v>
      </c>
      <c r="J3" s="17"/>
      <c r="K3" s="17" t="s">
        <v>37</v>
      </c>
      <c r="L3" s="17"/>
      <c r="M3" s="17" t="s">
        <v>38</v>
      </c>
      <c r="N3" s="17"/>
      <c r="O3" s="17" t="s">
        <v>39</v>
      </c>
      <c r="P3" s="17"/>
      <c r="Q3" s="17" t="s">
        <v>40</v>
      </c>
      <c r="R3" s="17"/>
      <c r="S3" s="17" t="s">
        <v>41</v>
      </c>
      <c r="T3" s="17"/>
      <c r="U3" s="17" t="s">
        <v>42</v>
      </c>
      <c r="V3" s="17"/>
      <c r="W3" s="17" t="s">
        <v>65</v>
      </c>
      <c r="X3" s="17"/>
    </row>
    <row r="4" spans="1:24" x14ac:dyDescent="0.25">
      <c r="A4" s="8" t="s">
        <v>44</v>
      </c>
      <c r="B4" s="8" t="s">
        <v>45</v>
      </c>
      <c r="C4" s="8" t="s">
        <v>46</v>
      </c>
      <c r="D4" s="8" t="s">
        <v>47</v>
      </c>
      <c r="E4" s="8" t="s">
        <v>46</v>
      </c>
      <c r="F4" s="8" t="s">
        <v>47</v>
      </c>
      <c r="G4" s="8" t="s">
        <v>46</v>
      </c>
      <c r="H4" s="8" t="s">
        <v>47</v>
      </c>
      <c r="I4" s="8" t="s">
        <v>46</v>
      </c>
      <c r="J4" s="8" t="s">
        <v>47</v>
      </c>
      <c r="K4" s="8" t="s">
        <v>46</v>
      </c>
      <c r="L4" s="8" t="s">
        <v>47</v>
      </c>
      <c r="M4" s="8" t="s">
        <v>46</v>
      </c>
      <c r="N4" s="8" t="s">
        <v>47</v>
      </c>
      <c r="O4" s="8" t="s">
        <v>46</v>
      </c>
      <c r="P4" s="8" t="s">
        <v>47</v>
      </c>
      <c r="Q4" s="8" t="s">
        <v>46</v>
      </c>
      <c r="R4" s="8" t="s">
        <v>47</v>
      </c>
      <c r="S4" s="8" t="s">
        <v>46</v>
      </c>
      <c r="T4" s="8" t="s">
        <v>47</v>
      </c>
      <c r="U4" s="8" t="s">
        <v>46</v>
      </c>
      <c r="V4" s="8" t="s">
        <v>47</v>
      </c>
      <c r="W4" s="8" t="s">
        <v>46</v>
      </c>
      <c r="X4" s="8" t="s">
        <v>47</v>
      </c>
    </row>
    <row r="5" spans="1:24" x14ac:dyDescent="0.25">
      <c r="A5" s="9" t="s">
        <v>48</v>
      </c>
      <c r="B5" s="9"/>
      <c r="C5" s="10" t="str">
        <f>IF(AND(ISNUMBER(Calc_AuV!C5),ISNUMBER(Manual_AuV!C5)),Calc_AuV!C5/Manual_AuV!C5,IF(AND(ISNUMBER(Calc_AuV!C5),NOT(ISNUMBER(Manual_AuV!C5))),"só calc",IF(AND(ISNUMBER(Manual_AuV!C5),NOT(ISNUMBER(Calc_AuV!C5))),"só manual","sem valor")))</f>
        <v>só calc</v>
      </c>
      <c r="D5" s="10"/>
      <c r="E5" s="10" t="str">
        <f>IF(AND(ISNUMBER(Calc_AuV!E5),ISNUMBER(Manual_AuV!E5)),Calc_AuV!E5/Manual_AuV!E5,IF(AND(ISNUMBER(Calc_AuV!E5),NOT(ISNUMBER(Manual_AuV!E5))),"só calc",IF(AND(ISNUMBER(Manual_AuV!E5),NOT(ISNUMBER(Calc_AuV!E5))),"só manual","sem valor")))</f>
        <v>só calc</v>
      </c>
      <c r="F5" s="10"/>
      <c r="G5" s="10" t="str">
        <f>IF(AND(ISNUMBER(Calc_AuV!G5),ISNUMBER(Manual_AuV!G5)),Calc_AuV!G5/Manual_AuV!G5,IF(AND(ISNUMBER(Calc_AuV!G5),NOT(ISNUMBER(Manual_AuV!G5))),"só calc",IF(AND(ISNUMBER(Manual_AuV!G5),NOT(ISNUMBER(Calc_AuV!G5))),"só manual","sem valor")))</f>
        <v>só calc</v>
      </c>
      <c r="H5" s="10"/>
      <c r="I5" s="10" t="str">
        <f>IF(AND(ISNUMBER(Calc_AuV!I5),ISNUMBER(Manual_AuV!I5)),Calc_AuV!I5/Manual_AuV!I5,IF(AND(ISNUMBER(Calc_AuV!I5),NOT(ISNUMBER(Manual_AuV!I5))),"só calc",IF(AND(ISNUMBER(Manual_AuV!I5),NOT(ISNUMBER(Calc_AuV!I5))),"só manual","sem valor")))</f>
        <v>só calc</v>
      </c>
      <c r="J5" s="10"/>
      <c r="K5" s="10">
        <f>IF(AND(ISNUMBER(Calc_AuV!K5),ISNUMBER(Manual_AuV!K5)),Calc_AuV!K5/Manual_AuV!K5,IF(AND(ISNUMBER(Calc_AuV!K5),NOT(ISNUMBER(Manual_AuV!K5))),"só calc",IF(AND(ISNUMBER(Manual_AuV!K5),NOT(ISNUMBER(Calc_AuV!K5))),"só manual","sem valor")))</f>
        <v>1</v>
      </c>
      <c r="L5" s="10"/>
      <c r="M5" s="10" t="str">
        <f>IF(AND(ISNUMBER(Calc_AuV!M5),ISNUMBER(Manual_AuV!M5)),Calc_AuV!M5/Manual_AuV!M5,IF(AND(ISNUMBER(Calc_AuV!M5),NOT(ISNUMBER(Manual_AuV!M5))),"só calc",IF(AND(ISNUMBER(Manual_AuV!M5),NOT(ISNUMBER(Calc_AuV!M5))),"só manual","sem valor")))</f>
        <v>só calc</v>
      </c>
      <c r="N5" s="10"/>
      <c r="O5" s="10" t="str">
        <f>IF(AND(ISNUMBER(Calc_AuV!O5),ISNUMBER(Manual_AuV!O5)),Calc_AuV!O5/Manual_AuV!O5,IF(AND(ISNUMBER(Calc_AuV!O5),NOT(ISNUMBER(Manual_AuV!O5))),"só calc",IF(AND(ISNUMBER(Manual_AuV!O5),NOT(ISNUMBER(Calc_AuV!O5))),"só manual","sem valor")))</f>
        <v>só calc</v>
      </c>
      <c r="P5" s="10"/>
      <c r="Q5" s="10" t="str">
        <f>IF(AND(ISNUMBER(Calc_AuV!Q5),ISNUMBER(Manual_AuV!Q5)),Calc_AuV!Q5/Manual_AuV!Q5,IF(AND(ISNUMBER(Calc_AuV!Q5),NOT(ISNUMBER(Manual_AuV!Q5))),"só calc",IF(AND(ISNUMBER(Manual_AuV!Q5),NOT(ISNUMBER(Calc_AuV!Q5))),"só manual","sem valor")))</f>
        <v>só calc</v>
      </c>
      <c r="R5" s="10"/>
      <c r="S5" s="10" t="str">
        <f>IF(AND(ISNUMBER(Calc_AuV!S5),ISNUMBER(Manual_AuV!S5)),Calc_AuV!S5/Manual_AuV!S5,IF(AND(ISNUMBER(Calc_AuV!S5),NOT(ISNUMBER(Manual_AuV!S5))),"só calc",IF(AND(ISNUMBER(Manual_AuV!S5),NOT(ISNUMBER(Calc_AuV!S5))),"só manual","sem valor")))</f>
        <v>só calc</v>
      </c>
      <c r="T5" s="10"/>
      <c r="U5" s="10" t="str">
        <f>IF(AND(ISNUMBER(Calc_AuV!U5),ISNUMBER(Manual_AuV!U5)),Calc_AuV!U5/Manual_AuV!U5,IF(AND(ISNUMBER(Calc_AuV!U5),NOT(ISNUMBER(Manual_AuV!U5))),"só calc",IF(AND(ISNUMBER(Manual_AuV!U5),NOT(ISNUMBER(Calc_AuV!U5))),"só manual","sem valor")))</f>
        <v>só calc</v>
      </c>
      <c r="V5" s="10"/>
      <c r="W5" s="10" t="str">
        <f>IF(AND(ISNUMBER(Calc_AuV!W5),ISNUMBER(Manual_AuV!W5)),Calc_AuV!W5/Manual_AuV!W5,IF(AND(ISNUMBER(Calc_AuV!W5),NOT(ISNUMBER(Manual_AuV!W5))),"só calc",IF(AND(ISNUMBER(Manual_AuV!W5),NOT(ISNUMBER(Calc_AuV!W5))),"só manual","sem valor")))</f>
        <v>só calc</v>
      </c>
      <c r="X5" s="10"/>
    </row>
    <row r="6" spans="1:24" x14ac:dyDescent="0.25">
      <c r="A6" s="11" t="s">
        <v>49</v>
      </c>
      <c r="B6" s="11" t="str">
        <f>Calc_AuV!B6</f>
        <v>Pd Folha tomate 3</v>
      </c>
      <c r="C6" s="12">
        <f>IF(AND(ISNUMBER(Calc_AuV!C6),ISNUMBER(Manual_AuV!C6)),Calc_AuV!C6/Manual_AuV!C6,IF(AND(ISNUMBER(Calc_AuV!C6),NOT(ISNUMBER(Manual_AuV!C6))),"só calc",IF(AND(ISNUMBER(Manual_AuV!C6),NOT(ISNUMBER(Calc_AuV!C6))),"só manual","sem valor")))</f>
        <v>1</v>
      </c>
      <c r="D6" s="12">
        <f>IF(AND(ISNUMBER(Calc_AuV!D6),ISNUMBER(Manual_AuV!D6)),Calc_AuV!D6/Manual_AuV!D6,IF(AND(ISNUMBER(Calc_AuV!D6),NOT(ISNUMBER(Manual_AuV!D6))),"só calc",IF(AND(ISNUMBER(Manual_AuV!D6),NOT(ISNUMBER(Calc_AuV!D6))),"só manual","sem valor")))</f>
        <v>1</v>
      </c>
      <c r="E6" s="12">
        <f>IF(AND(ISNUMBER(Calc_AuV!E6),ISNUMBER(Manual_AuV!E6)),Calc_AuV!E6/Manual_AuV!E6,IF(AND(ISNUMBER(Calc_AuV!E6),NOT(ISNUMBER(Manual_AuV!E6))),"só calc",IF(AND(ISNUMBER(Manual_AuV!E6),NOT(ISNUMBER(Calc_AuV!E6))),"só manual","sem valor")))</f>
        <v>1</v>
      </c>
      <c r="F6" s="12">
        <f>IF(AND(ISNUMBER(Calc_AuV!F6),ISNUMBER(Manual_AuV!F6)),Calc_AuV!F6/Manual_AuV!F6,IF(AND(ISNUMBER(Calc_AuV!F6),NOT(ISNUMBER(Manual_AuV!F6))),"só calc",IF(AND(ISNUMBER(Manual_AuV!F6),NOT(ISNUMBER(Calc_AuV!F6))),"só manual","sem valor")))</f>
        <v>1</v>
      </c>
      <c r="G6" s="12">
        <f>IF(AND(ISNUMBER(Calc_AuV!G6),ISNUMBER(Manual_AuV!G6)),Calc_AuV!G6/Manual_AuV!G6,IF(AND(ISNUMBER(Calc_AuV!G6),NOT(ISNUMBER(Manual_AuV!G6))),"só calc",IF(AND(ISNUMBER(Manual_AuV!G6),NOT(ISNUMBER(Calc_AuV!G6))),"só manual","sem valor")))</f>
        <v>1</v>
      </c>
      <c r="H6" s="12">
        <f>IF(AND(ISNUMBER(Calc_AuV!H6),ISNUMBER(Manual_AuV!H6)),Calc_AuV!H6/Manual_AuV!H6,IF(AND(ISNUMBER(Calc_AuV!H6),NOT(ISNUMBER(Manual_AuV!H6))),"só calc",IF(AND(ISNUMBER(Manual_AuV!H6),NOT(ISNUMBER(Calc_AuV!H6))),"só manual","sem valor")))</f>
        <v>1</v>
      </c>
      <c r="I6" s="12">
        <f>IF(AND(ISNUMBER(Calc_AuV!I6),ISNUMBER(Manual_AuV!I6)),Calc_AuV!I6/Manual_AuV!I6,IF(AND(ISNUMBER(Calc_AuV!I6),NOT(ISNUMBER(Manual_AuV!I6))),"só calc",IF(AND(ISNUMBER(Manual_AuV!I6),NOT(ISNUMBER(Calc_AuV!I6))),"só manual","sem valor")))</f>
        <v>1</v>
      </c>
      <c r="J6" s="12">
        <f>IF(AND(ISNUMBER(Calc_AuV!J6),ISNUMBER(Manual_AuV!J6)),Calc_AuV!J6/Manual_AuV!J6,IF(AND(ISNUMBER(Calc_AuV!J6),NOT(ISNUMBER(Manual_AuV!J6))),"só calc",IF(AND(ISNUMBER(Manual_AuV!J6),NOT(ISNUMBER(Calc_AuV!J6))),"só manual","sem valor")))</f>
        <v>1</v>
      </c>
      <c r="K6" s="12">
        <f>IF(AND(ISNUMBER(Calc_AuV!K6),ISNUMBER(Manual_AuV!K6)),Calc_AuV!K6/Manual_AuV!K6,IF(AND(ISNUMBER(Calc_AuV!K6),NOT(ISNUMBER(Manual_AuV!K6))),"só calc",IF(AND(ISNUMBER(Manual_AuV!K6),NOT(ISNUMBER(Calc_AuV!K6))),"só manual","sem valor")))</f>
        <v>1</v>
      </c>
      <c r="L6" s="12">
        <f>IF(AND(ISNUMBER(Calc_AuV!L6),ISNUMBER(Manual_AuV!L6)),Calc_AuV!L6/Manual_AuV!L6,IF(AND(ISNUMBER(Calc_AuV!L6),NOT(ISNUMBER(Manual_AuV!L6))),"só calc",IF(AND(ISNUMBER(Manual_AuV!L6),NOT(ISNUMBER(Calc_AuV!L6))),"só manual","sem valor")))</f>
        <v>1</v>
      </c>
      <c r="M6" s="12">
        <f>IF(AND(ISNUMBER(Calc_AuV!M6),ISNUMBER(Manual_AuV!M6)),Calc_AuV!M6/Manual_AuV!M6,IF(AND(ISNUMBER(Calc_AuV!M6),NOT(ISNUMBER(Manual_AuV!M6))),"só calc",IF(AND(ISNUMBER(Manual_AuV!M6),NOT(ISNUMBER(Calc_AuV!M6))),"só manual","sem valor")))</f>
        <v>1</v>
      </c>
      <c r="N6" s="12">
        <f>IF(AND(ISNUMBER(Calc_AuV!N6),ISNUMBER(Manual_AuV!N6)),Calc_AuV!N6/Manual_AuV!N6,IF(AND(ISNUMBER(Calc_AuV!N6),NOT(ISNUMBER(Manual_AuV!N6))),"só calc",IF(AND(ISNUMBER(Manual_AuV!N6),NOT(ISNUMBER(Calc_AuV!N6))),"só manual","sem valor")))</f>
        <v>1</v>
      </c>
      <c r="O6" s="12">
        <f>IF(AND(ISNUMBER(Calc_AuV!O6),ISNUMBER(Manual_AuV!O6)),Calc_AuV!O6/Manual_AuV!O6,IF(AND(ISNUMBER(Calc_AuV!O6),NOT(ISNUMBER(Manual_AuV!O6))),"só calc",IF(AND(ISNUMBER(Manual_AuV!O6),NOT(ISNUMBER(Calc_AuV!O6))),"só manual","sem valor")))</f>
        <v>1</v>
      </c>
      <c r="P6" s="12">
        <f>IF(AND(ISNUMBER(Calc_AuV!P6),ISNUMBER(Manual_AuV!P6)),Calc_AuV!P6/Manual_AuV!P6,IF(AND(ISNUMBER(Calc_AuV!P6),NOT(ISNUMBER(Manual_AuV!P6))),"só calc",IF(AND(ISNUMBER(Manual_AuV!P6),NOT(ISNUMBER(Calc_AuV!P6))),"só manual","sem valor")))</f>
        <v>1</v>
      </c>
      <c r="Q6" s="12">
        <f>IF(AND(ISNUMBER(Calc_AuV!Q6),ISNUMBER(Manual_AuV!Q6)),Calc_AuV!Q6/Manual_AuV!Q6,IF(AND(ISNUMBER(Calc_AuV!Q6),NOT(ISNUMBER(Manual_AuV!Q6))),"só calc",IF(AND(ISNUMBER(Manual_AuV!Q6),NOT(ISNUMBER(Calc_AuV!Q6))),"só manual","sem valor")))</f>
        <v>1</v>
      </c>
      <c r="R6" s="12">
        <f>IF(AND(ISNUMBER(Calc_AuV!R6),ISNUMBER(Manual_AuV!R6)),Calc_AuV!R6/Manual_AuV!R6,IF(AND(ISNUMBER(Calc_AuV!R6),NOT(ISNUMBER(Manual_AuV!R6))),"só calc",IF(AND(ISNUMBER(Manual_AuV!R6),NOT(ISNUMBER(Calc_AuV!R6))),"só manual","sem valor")))</f>
        <v>1</v>
      </c>
      <c r="S6" s="12">
        <f>IF(AND(ISNUMBER(Calc_AuV!S6),ISNUMBER(Manual_AuV!S6)),Calc_AuV!S6/Manual_AuV!S6,IF(AND(ISNUMBER(Calc_AuV!S6),NOT(ISNUMBER(Manual_AuV!S6))),"só calc",IF(AND(ISNUMBER(Manual_AuV!S6),NOT(ISNUMBER(Calc_AuV!S6))),"só manual","sem valor")))</f>
        <v>1</v>
      </c>
      <c r="T6" s="12">
        <f>IF(AND(ISNUMBER(Calc_AuV!T6),ISNUMBER(Manual_AuV!T6)),Calc_AuV!T6/Manual_AuV!T6,IF(AND(ISNUMBER(Calc_AuV!T6),NOT(ISNUMBER(Manual_AuV!T6))),"só calc",IF(AND(ISNUMBER(Manual_AuV!T6),NOT(ISNUMBER(Calc_AuV!T6))),"só manual","sem valor")))</f>
        <v>1</v>
      </c>
      <c r="U6" s="12">
        <f>IF(AND(ISNUMBER(Calc_AuV!U6),ISNUMBER(Manual_AuV!U6)),Calc_AuV!U6/Manual_AuV!U6,IF(AND(ISNUMBER(Calc_AuV!U6),NOT(ISNUMBER(Manual_AuV!U6))),"só calc",IF(AND(ISNUMBER(Manual_AuV!U6),NOT(ISNUMBER(Calc_AuV!U6))),"só manual","sem valor")))</f>
        <v>1</v>
      </c>
      <c r="V6" s="12">
        <f>IF(AND(ISNUMBER(Calc_AuV!V6),ISNUMBER(Manual_AuV!V6)),Calc_AuV!V6/Manual_AuV!V6,IF(AND(ISNUMBER(Calc_AuV!V6),NOT(ISNUMBER(Manual_AuV!V6))),"só calc",IF(AND(ISNUMBER(Manual_AuV!V6),NOT(ISNUMBER(Calc_AuV!V6))),"só manual","sem valor")))</f>
        <v>1</v>
      </c>
      <c r="W6" s="12">
        <f>IF(AND(ISNUMBER(Calc_AuV!W6),ISNUMBER(Manual_AuV!W6)),Calc_AuV!W6/Manual_AuV!W6,IF(AND(ISNUMBER(Calc_AuV!W6),NOT(ISNUMBER(Manual_AuV!W6))),"só calc",IF(AND(ISNUMBER(Manual_AuV!W6),NOT(ISNUMBER(Calc_AuV!W6))),"só manual","sem valor")))</f>
        <v>1</v>
      </c>
      <c r="X6" s="12">
        <f>IF(AND(ISNUMBER(Calc_AuV!X6),ISNUMBER(Manual_AuV!X6)),Calc_AuV!X6/Manual_AuV!X6,IF(AND(ISNUMBER(Calc_AuV!X6),NOT(ISNUMBER(Manual_AuV!X6))),"só calc",IF(AND(ISNUMBER(Manual_AuV!X6),NOT(ISNUMBER(Calc_AuV!X6))),"só manual","sem valor")))</f>
        <v>1</v>
      </c>
    </row>
    <row r="7" spans="1:24" x14ac:dyDescent="0.25">
      <c r="A7" s="11" t="s">
        <v>50</v>
      </c>
      <c r="B7" s="11" t="str">
        <f>Calc_AuV!B7</f>
        <v>R2</v>
      </c>
      <c r="C7" s="12">
        <f>IF(AND(ISNUMBER(Calc_AuV!C7),ISNUMBER(Manual_AuV!C7)),Calc_AuV!C7/Manual_AuV!C7,IF(AND(ISNUMBER(Calc_AuV!C7),NOT(ISNUMBER(Manual_AuV!C7))),"só calc",IF(AND(ISNUMBER(Manual_AuV!C7),NOT(ISNUMBER(Calc_AuV!C7))),"só manual","sem valor")))</f>
        <v>1</v>
      </c>
      <c r="D7" s="12">
        <f>IF(AND(ISNUMBER(Calc_AuV!D7),ISNUMBER(Manual_AuV!D7)),Calc_AuV!D7/Manual_AuV!D7,IF(AND(ISNUMBER(Calc_AuV!D7),NOT(ISNUMBER(Manual_AuV!D7))),"só calc",IF(AND(ISNUMBER(Manual_AuV!D7),NOT(ISNUMBER(Calc_AuV!D7))),"só manual","sem valor")))</f>
        <v>0.99812238871831116</v>
      </c>
      <c r="E7" s="12">
        <f>IF(AND(ISNUMBER(Calc_AuV!E7),ISNUMBER(Manual_AuV!E7)),Calc_AuV!E7/Manual_AuV!E7,IF(AND(ISNUMBER(Calc_AuV!E7),NOT(ISNUMBER(Manual_AuV!E7))),"só calc",IF(AND(ISNUMBER(Manual_AuV!E7),NOT(ISNUMBER(Calc_AuV!E7))),"só manual","sem valor")))</f>
        <v>1</v>
      </c>
      <c r="F7" s="12">
        <f>IF(AND(ISNUMBER(Calc_AuV!F7),ISNUMBER(Manual_AuV!F7)),Calc_AuV!F7/Manual_AuV!F7,IF(AND(ISNUMBER(Calc_AuV!F7),NOT(ISNUMBER(Manual_AuV!F7))),"só calc",IF(AND(ISNUMBER(Manual_AuV!F7),NOT(ISNUMBER(Calc_AuV!F7))),"só manual","sem valor")))</f>
        <v>1.0014210519025202</v>
      </c>
      <c r="G7" s="12">
        <f>IF(AND(ISNUMBER(Calc_AuV!G7),ISNUMBER(Manual_AuV!G7)),Calc_AuV!G7/Manual_AuV!G7,IF(AND(ISNUMBER(Calc_AuV!G7),NOT(ISNUMBER(Manual_AuV!G7))),"só calc",IF(AND(ISNUMBER(Manual_AuV!G7),NOT(ISNUMBER(Calc_AuV!G7))),"só manual","sem valor")))</f>
        <v>1</v>
      </c>
      <c r="H7" s="12">
        <f>IF(AND(ISNUMBER(Calc_AuV!H7),ISNUMBER(Manual_AuV!H7)),Calc_AuV!H7/Manual_AuV!H7,IF(AND(ISNUMBER(Calc_AuV!H7),NOT(ISNUMBER(Manual_AuV!H7))),"só calc",IF(AND(ISNUMBER(Manual_AuV!H7),NOT(ISNUMBER(Calc_AuV!H7))),"só manual","sem valor")))</f>
        <v>0.99987827783012884</v>
      </c>
      <c r="I7" s="12">
        <f>IF(AND(ISNUMBER(Calc_AuV!I7),ISNUMBER(Manual_AuV!I7)),Calc_AuV!I7/Manual_AuV!I7,IF(AND(ISNUMBER(Calc_AuV!I7),NOT(ISNUMBER(Manual_AuV!I7))),"só calc",IF(AND(ISNUMBER(Manual_AuV!I7),NOT(ISNUMBER(Calc_AuV!I7))),"só manual","sem valor")))</f>
        <v>1</v>
      </c>
      <c r="J7" s="12">
        <f>IF(AND(ISNUMBER(Calc_AuV!J7),ISNUMBER(Manual_AuV!J7)),Calc_AuV!J7/Manual_AuV!J7,IF(AND(ISNUMBER(Calc_AuV!J7),NOT(ISNUMBER(Manual_AuV!J7))),"só calc",IF(AND(ISNUMBER(Manual_AuV!J7),NOT(ISNUMBER(Calc_AuV!J7))),"só manual","sem valor")))</f>
        <v>0.99950984805255372</v>
      </c>
      <c r="K7" s="12">
        <f>IF(AND(ISNUMBER(Calc_AuV!K7),ISNUMBER(Manual_AuV!K7)),Calc_AuV!K7/Manual_AuV!K7,IF(AND(ISNUMBER(Calc_AuV!K7),NOT(ISNUMBER(Manual_AuV!K7))),"só calc",IF(AND(ISNUMBER(Manual_AuV!K7),NOT(ISNUMBER(Calc_AuV!K7))),"só manual","sem valor")))</f>
        <v>1</v>
      </c>
      <c r="L7" s="12">
        <f>IF(AND(ISNUMBER(Calc_AuV!L7),ISNUMBER(Manual_AuV!L7)),Calc_AuV!L7/Manual_AuV!L7,IF(AND(ISNUMBER(Calc_AuV!L7),NOT(ISNUMBER(Manual_AuV!L7))),"só calc",IF(AND(ISNUMBER(Manual_AuV!L7),NOT(ISNUMBER(Calc_AuV!L7))),"só manual","sem valor")))</f>
        <v>0.99993105409120009</v>
      </c>
      <c r="M7" s="12">
        <f>IF(AND(ISNUMBER(Calc_AuV!M7),ISNUMBER(Manual_AuV!M7)),Calc_AuV!M7/Manual_AuV!M7,IF(AND(ISNUMBER(Calc_AuV!M7),NOT(ISNUMBER(Manual_AuV!M7))),"só calc",IF(AND(ISNUMBER(Manual_AuV!M7),NOT(ISNUMBER(Calc_AuV!M7))),"só manual","sem valor")))</f>
        <v>1</v>
      </c>
      <c r="N7" s="12">
        <f>IF(AND(ISNUMBER(Calc_AuV!N7),ISNUMBER(Manual_AuV!N7)),Calc_AuV!N7/Manual_AuV!N7,IF(AND(ISNUMBER(Calc_AuV!N7),NOT(ISNUMBER(Manual_AuV!N7))),"só calc",IF(AND(ISNUMBER(Manual_AuV!N7),NOT(ISNUMBER(Calc_AuV!N7))),"só manual","sem valor")))</f>
        <v>1.0000503146673965</v>
      </c>
      <c r="O7" s="12">
        <f>IF(AND(ISNUMBER(Calc_AuV!O7),ISNUMBER(Manual_AuV!O7)),Calc_AuV!O7/Manual_AuV!O7,IF(AND(ISNUMBER(Calc_AuV!O7),NOT(ISNUMBER(Manual_AuV!O7))),"só calc",IF(AND(ISNUMBER(Manual_AuV!O7),NOT(ISNUMBER(Calc_AuV!O7))),"só manual","sem valor")))</f>
        <v>1</v>
      </c>
      <c r="P7" s="12">
        <f>IF(AND(ISNUMBER(Calc_AuV!P7),ISNUMBER(Manual_AuV!P7)),Calc_AuV!P7/Manual_AuV!P7,IF(AND(ISNUMBER(Calc_AuV!P7),NOT(ISNUMBER(Manual_AuV!P7))),"só calc",IF(AND(ISNUMBER(Manual_AuV!P7),NOT(ISNUMBER(Calc_AuV!P7))),"só manual","sem valor")))</f>
        <v>1.0000134306842106</v>
      </c>
      <c r="Q7" s="12">
        <f>IF(AND(ISNUMBER(Calc_AuV!Q7),ISNUMBER(Manual_AuV!Q7)),Calc_AuV!Q7/Manual_AuV!Q7,IF(AND(ISNUMBER(Calc_AuV!Q7),NOT(ISNUMBER(Manual_AuV!Q7))),"só calc",IF(AND(ISNUMBER(Manual_AuV!Q7),NOT(ISNUMBER(Calc_AuV!Q7))),"só manual","sem valor")))</f>
        <v>1</v>
      </c>
      <c r="R7" s="12">
        <f>IF(AND(ISNUMBER(Calc_AuV!R7),ISNUMBER(Manual_AuV!R7)),Calc_AuV!R7/Manual_AuV!R7,IF(AND(ISNUMBER(Calc_AuV!R7),NOT(ISNUMBER(Manual_AuV!R7))),"só calc",IF(AND(ISNUMBER(Manual_AuV!R7),NOT(ISNUMBER(Calc_AuV!R7))),"só manual","sem valor")))</f>
        <v>1.0001636992265124</v>
      </c>
      <c r="S7" s="12">
        <f>IF(AND(ISNUMBER(Calc_AuV!S7),ISNUMBER(Manual_AuV!S7)),Calc_AuV!S7/Manual_AuV!S7,IF(AND(ISNUMBER(Calc_AuV!S7),NOT(ISNUMBER(Manual_AuV!S7))),"só calc",IF(AND(ISNUMBER(Manual_AuV!S7),NOT(ISNUMBER(Calc_AuV!S7))),"só manual","sem valor")))</f>
        <v>1</v>
      </c>
      <c r="T7" s="12">
        <f>IF(AND(ISNUMBER(Calc_AuV!T7),ISNUMBER(Manual_AuV!T7)),Calc_AuV!T7/Manual_AuV!T7,IF(AND(ISNUMBER(Calc_AuV!T7),NOT(ISNUMBER(Manual_AuV!T7))),"só calc",IF(AND(ISNUMBER(Manual_AuV!T7),NOT(ISNUMBER(Calc_AuV!T7))),"só manual","sem valor")))</f>
        <v>1.0004642243224102</v>
      </c>
      <c r="U7" s="12">
        <f>IF(AND(ISNUMBER(Calc_AuV!U7),ISNUMBER(Manual_AuV!U7)),Calc_AuV!U7/Manual_AuV!U7,IF(AND(ISNUMBER(Calc_AuV!U7),NOT(ISNUMBER(Manual_AuV!U7))),"só calc",IF(AND(ISNUMBER(Manual_AuV!U7),NOT(ISNUMBER(Calc_AuV!U7))),"só manual","sem valor")))</f>
        <v>1</v>
      </c>
      <c r="V7" s="12">
        <f>IF(AND(ISNUMBER(Calc_AuV!V7),ISNUMBER(Manual_AuV!V7)),Calc_AuV!V7/Manual_AuV!V7,IF(AND(ISNUMBER(Calc_AuV!V7),NOT(ISNUMBER(Manual_AuV!V7))),"só calc",IF(AND(ISNUMBER(Manual_AuV!V7),NOT(ISNUMBER(Calc_AuV!V7))),"só manual","sem valor")))</f>
        <v>0.99967213986663916</v>
      </c>
      <c r="W7" s="12">
        <f>IF(AND(ISNUMBER(Calc_AuV!W7),ISNUMBER(Manual_AuV!W7)),Calc_AuV!W7/Manual_AuV!W7,IF(AND(ISNUMBER(Calc_AuV!W7),NOT(ISNUMBER(Manual_AuV!W7))),"só calc",IF(AND(ISNUMBER(Manual_AuV!W7),NOT(ISNUMBER(Calc_AuV!W7))),"só manual","sem valor")))</f>
        <v>1</v>
      </c>
      <c r="X7" s="12">
        <f>IF(AND(ISNUMBER(Calc_AuV!X7),ISNUMBER(Manual_AuV!X7)),Calc_AuV!X7/Manual_AuV!X7,IF(AND(ISNUMBER(Calc_AuV!X7),NOT(ISNUMBER(Manual_AuV!X7))),"só calc",IF(AND(ISNUMBER(Manual_AuV!X7),NOT(ISNUMBER(Calc_AuV!X7))),"só manual","sem valor")))</f>
        <v>1.0005959350975258</v>
      </c>
    </row>
    <row r="8" spans="1:24" x14ac:dyDescent="0.25">
      <c r="A8" s="11" t="s">
        <v>51</v>
      </c>
      <c r="B8" s="11" t="str">
        <f>Calc_AuV!B8</f>
        <v>R3</v>
      </c>
      <c r="C8" s="12">
        <f>IF(AND(ISNUMBER(Calc_AuV!C8),ISNUMBER(Manual_AuV!C8)),Calc_AuV!C8/Manual_AuV!C8,IF(AND(ISNUMBER(Calc_AuV!C8),NOT(ISNUMBER(Manual_AuV!C8))),"só calc",IF(AND(ISNUMBER(Manual_AuV!C8),NOT(ISNUMBER(Calc_AuV!C8))),"só manual","sem valor")))</f>
        <v>1</v>
      </c>
      <c r="D8" s="12">
        <f>IF(AND(ISNUMBER(Calc_AuV!D8),ISNUMBER(Manual_AuV!D8)),Calc_AuV!D8/Manual_AuV!D8,IF(AND(ISNUMBER(Calc_AuV!D8),NOT(ISNUMBER(Manual_AuV!D8))),"só calc",IF(AND(ISNUMBER(Manual_AuV!D8),NOT(ISNUMBER(Calc_AuV!D8))),"só manual","sem valor")))</f>
        <v>0.99913203109650983</v>
      </c>
      <c r="E8" s="12">
        <f>IF(AND(ISNUMBER(Calc_AuV!E8),ISNUMBER(Manual_AuV!E8)),Calc_AuV!E8/Manual_AuV!E8,IF(AND(ISNUMBER(Calc_AuV!E8),NOT(ISNUMBER(Manual_AuV!E8))),"só calc",IF(AND(ISNUMBER(Manual_AuV!E8),NOT(ISNUMBER(Calc_AuV!E8))),"só manual","sem valor")))</f>
        <v>1</v>
      </c>
      <c r="F8" s="12">
        <f>IF(AND(ISNUMBER(Calc_AuV!F8),ISNUMBER(Manual_AuV!F8)),Calc_AuV!F8/Manual_AuV!F8,IF(AND(ISNUMBER(Calc_AuV!F8),NOT(ISNUMBER(Manual_AuV!F8))),"só calc",IF(AND(ISNUMBER(Manual_AuV!F8),NOT(ISNUMBER(Calc_AuV!F8))),"só manual","sem valor")))</f>
        <v>1.0009806664833125</v>
      </c>
      <c r="G8" s="12">
        <f>IF(AND(ISNUMBER(Calc_AuV!G8),ISNUMBER(Manual_AuV!G8)),Calc_AuV!G8/Manual_AuV!G8,IF(AND(ISNUMBER(Calc_AuV!G8),NOT(ISNUMBER(Manual_AuV!G8))),"só calc",IF(AND(ISNUMBER(Manual_AuV!G8),NOT(ISNUMBER(Calc_AuV!G8))),"só manual","sem valor")))</f>
        <v>1</v>
      </c>
      <c r="H8" s="12">
        <f>IF(AND(ISNUMBER(Calc_AuV!H8),ISNUMBER(Manual_AuV!H8)),Calc_AuV!H8/Manual_AuV!H8,IF(AND(ISNUMBER(Calc_AuV!H8),NOT(ISNUMBER(Manual_AuV!H8))),"só calc",IF(AND(ISNUMBER(Manual_AuV!H8),NOT(ISNUMBER(Calc_AuV!H8))),"só manual","sem valor")))</f>
        <v>1.0002678699546976</v>
      </c>
      <c r="I8" s="12">
        <f>IF(AND(ISNUMBER(Calc_AuV!I8),ISNUMBER(Manual_AuV!I8)),Calc_AuV!I8/Manual_AuV!I8,IF(AND(ISNUMBER(Calc_AuV!I8),NOT(ISNUMBER(Manual_AuV!I8))),"só calc",IF(AND(ISNUMBER(Manual_AuV!I8),NOT(ISNUMBER(Calc_AuV!I8))),"só manual","sem valor")))</f>
        <v>1</v>
      </c>
      <c r="J8" s="12">
        <f>IF(AND(ISNUMBER(Calc_AuV!J8),ISNUMBER(Manual_AuV!J8)),Calc_AuV!J8/Manual_AuV!J8,IF(AND(ISNUMBER(Calc_AuV!J8),NOT(ISNUMBER(Manual_AuV!J8))),"só calc",IF(AND(ISNUMBER(Manual_AuV!J8),NOT(ISNUMBER(Calc_AuV!J8))),"só manual","sem valor")))</f>
        <v>1.0008915509475018</v>
      </c>
      <c r="K8" s="12">
        <f>IF(AND(ISNUMBER(Calc_AuV!K8),ISNUMBER(Manual_AuV!K8)),Calc_AuV!K8/Manual_AuV!K8,IF(AND(ISNUMBER(Calc_AuV!K8),NOT(ISNUMBER(Manual_AuV!K8))),"só calc",IF(AND(ISNUMBER(Manual_AuV!K8),NOT(ISNUMBER(Calc_AuV!K8))),"só manual","sem valor")))</f>
        <v>1</v>
      </c>
      <c r="L8" s="12">
        <f>IF(AND(ISNUMBER(Calc_AuV!L8),ISNUMBER(Manual_AuV!L8)),Calc_AuV!L8/Manual_AuV!L8,IF(AND(ISNUMBER(Calc_AuV!L8),NOT(ISNUMBER(Manual_AuV!L8))),"só calc",IF(AND(ISNUMBER(Manual_AuV!L8),NOT(ISNUMBER(Calc_AuV!L8))),"só manual","sem valor")))</f>
        <v>0.99999816717833301</v>
      </c>
      <c r="M8" s="12">
        <f>IF(AND(ISNUMBER(Calc_AuV!M8),ISNUMBER(Manual_AuV!M8)),Calc_AuV!M8/Manual_AuV!M8,IF(AND(ISNUMBER(Calc_AuV!M8),NOT(ISNUMBER(Manual_AuV!M8))),"só calc",IF(AND(ISNUMBER(Manual_AuV!M8),NOT(ISNUMBER(Calc_AuV!M8))),"só manual","sem valor")))</f>
        <v>1</v>
      </c>
      <c r="N8" s="12">
        <f>IF(AND(ISNUMBER(Calc_AuV!N8),ISNUMBER(Manual_AuV!N8)),Calc_AuV!N8/Manual_AuV!N8,IF(AND(ISNUMBER(Calc_AuV!N8),NOT(ISNUMBER(Manual_AuV!N8))),"só calc",IF(AND(ISNUMBER(Manual_AuV!N8),NOT(ISNUMBER(Calc_AuV!N8))),"só manual","sem valor")))</f>
        <v>0.99859561430312738</v>
      </c>
      <c r="O8" s="12">
        <f>IF(AND(ISNUMBER(Calc_AuV!O8),ISNUMBER(Manual_AuV!O8)),Calc_AuV!O8/Manual_AuV!O8,IF(AND(ISNUMBER(Calc_AuV!O8),NOT(ISNUMBER(Manual_AuV!O8))),"só calc",IF(AND(ISNUMBER(Manual_AuV!O8),NOT(ISNUMBER(Calc_AuV!O8))),"só manual","sem valor")))</f>
        <v>1</v>
      </c>
      <c r="P8" s="12">
        <f>IF(AND(ISNUMBER(Calc_AuV!P8),ISNUMBER(Manual_AuV!P8)),Calc_AuV!P8/Manual_AuV!P8,IF(AND(ISNUMBER(Calc_AuV!P8),NOT(ISNUMBER(Manual_AuV!P8))),"só calc",IF(AND(ISNUMBER(Manual_AuV!P8),NOT(ISNUMBER(Calc_AuV!P8))),"só manual","sem valor")))</f>
        <v>0.99999205935140301</v>
      </c>
      <c r="Q8" s="12">
        <f>IF(AND(ISNUMBER(Calc_AuV!Q8),ISNUMBER(Manual_AuV!Q8)),Calc_AuV!Q8/Manual_AuV!Q8,IF(AND(ISNUMBER(Calc_AuV!Q8),NOT(ISNUMBER(Manual_AuV!Q8))),"só calc",IF(AND(ISNUMBER(Manual_AuV!Q8),NOT(ISNUMBER(Calc_AuV!Q8))),"só manual","sem valor")))</f>
        <v>1</v>
      </c>
      <c r="R8" s="12">
        <f>IF(AND(ISNUMBER(Calc_AuV!R8),ISNUMBER(Manual_AuV!R8)),Calc_AuV!R8/Manual_AuV!R8,IF(AND(ISNUMBER(Calc_AuV!R8),NOT(ISNUMBER(Manual_AuV!R8))),"só calc",IF(AND(ISNUMBER(Manual_AuV!R8),NOT(ISNUMBER(Calc_AuV!R8))),"só manual","sem valor")))</f>
        <v>1.0001901067814762</v>
      </c>
      <c r="S8" s="12">
        <f>IF(AND(ISNUMBER(Calc_AuV!S8),ISNUMBER(Manual_AuV!S8)),Calc_AuV!S8/Manual_AuV!S8,IF(AND(ISNUMBER(Calc_AuV!S8),NOT(ISNUMBER(Manual_AuV!S8))),"só calc",IF(AND(ISNUMBER(Manual_AuV!S8),NOT(ISNUMBER(Calc_AuV!S8))),"só manual","sem valor")))</f>
        <v>1</v>
      </c>
      <c r="T8" s="12">
        <f>IF(AND(ISNUMBER(Calc_AuV!T8),ISNUMBER(Manual_AuV!T8)),Calc_AuV!T8/Manual_AuV!T8,IF(AND(ISNUMBER(Calc_AuV!T8),NOT(ISNUMBER(Manual_AuV!T8))),"só calc",IF(AND(ISNUMBER(Manual_AuV!T8),NOT(ISNUMBER(Calc_AuV!T8))),"só manual","sem valor")))</f>
        <v>1.0003541745218194</v>
      </c>
      <c r="U8" s="12">
        <f>IF(AND(ISNUMBER(Calc_AuV!U8),ISNUMBER(Manual_AuV!U8)),Calc_AuV!U8/Manual_AuV!U8,IF(AND(ISNUMBER(Calc_AuV!U8),NOT(ISNUMBER(Manual_AuV!U8))),"só calc",IF(AND(ISNUMBER(Manual_AuV!U8),NOT(ISNUMBER(Calc_AuV!U8))),"só manual","sem valor")))</f>
        <v>1</v>
      </c>
      <c r="V8" s="12">
        <f>IF(AND(ISNUMBER(Calc_AuV!V8),ISNUMBER(Manual_AuV!V8)),Calc_AuV!V8/Manual_AuV!V8,IF(AND(ISNUMBER(Calc_AuV!V8),NOT(ISNUMBER(Manual_AuV!V8))),"só calc",IF(AND(ISNUMBER(Manual_AuV!V8),NOT(ISNUMBER(Calc_AuV!V8))),"só manual","sem valor")))</f>
        <v>1.0002760639803776</v>
      </c>
      <c r="W8" s="12">
        <f>IF(AND(ISNUMBER(Calc_AuV!W8),ISNUMBER(Manual_AuV!W8)),Calc_AuV!W8/Manual_AuV!W8,IF(AND(ISNUMBER(Calc_AuV!W8),NOT(ISNUMBER(Manual_AuV!W8))),"só calc",IF(AND(ISNUMBER(Manual_AuV!W8),NOT(ISNUMBER(Calc_AuV!W8))),"só manual","sem valor")))</f>
        <v>1</v>
      </c>
      <c r="X8" s="12">
        <f>IF(AND(ISNUMBER(Calc_AuV!X8),ISNUMBER(Manual_AuV!X8)),Calc_AuV!X8/Manual_AuV!X8,IF(AND(ISNUMBER(Calc_AuV!X8),NOT(ISNUMBER(Manual_AuV!X8))),"só calc",IF(AND(ISNUMBER(Manual_AuV!X8),NOT(ISNUMBER(Calc_AuV!X8))),"só manual","sem valor")))</f>
        <v>0.99991441089492905</v>
      </c>
    </row>
    <row r="9" spans="1:24" x14ac:dyDescent="0.25">
      <c r="A9" s="11" t="s">
        <v>52</v>
      </c>
      <c r="B9" s="11" t="str">
        <f>Calc_AuV!B9</f>
        <v>R4</v>
      </c>
      <c r="C9" s="12">
        <f>IF(AND(ISNUMBER(Calc_AuV!C9),ISNUMBER(Manual_AuV!C9)),Calc_AuV!C9/Manual_AuV!C9,IF(AND(ISNUMBER(Calc_AuV!C9),NOT(ISNUMBER(Manual_AuV!C9))),"só calc",IF(AND(ISNUMBER(Manual_AuV!C9),NOT(ISNUMBER(Calc_AuV!C9))),"só manual","sem valor")))</f>
        <v>1</v>
      </c>
      <c r="D9" s="12">
        <f>IF(AND(ISNUMBER(Calc_AuV!D9),ISNUMBER(Manual_AuV!D9)),Calc_AuV!D9/Manual_AuV!D9,IF(AND(ISNUMBER(Calc_AuV!D9),NOT(ISNUMBER(Manual_AuV!D9))),"só calc",IF(AND(ISNUMBER(Manual_AuV!D9),NOT(ISNUMBER(Calc_AuV!D9))),"só manual","sem valor")))</f>
        <v>0.99909696772051704</v>
      </c>
      <c r="E9" s="12">
        <f>IF(AND(ISNUMBER(Calc_AuV!E9),ISNUMBER(Manual_AuV!E9)),Calc_AuV!E9/Manual_AuV!E9,IF(AND(ISNUMBER(Calc_AuV!E9),NOT(ISNUMBER(Manual_AuV!E9))),"só calc",IF(AND(ISNUMBER(Manual_AuV!E9),NOT(ISNUMBER(Calc_AuV!E9))),"só manual","sem valor")))</f>
        <v>1</v>
      </c>
      <c r="F9" s="12">
        <f>IF(AND(ISNUMBER(Calc_AuV!F9),ISNUMBER(Manual_AuV!F9)),Calc_AuV!F9/Manual_AuV!F9,IF(AND(ISNUMBER(Calc_AuV!F9),NOT(ISNUMBER(Manual_AuV!F9))),"só calc",IF(AND(ISNUMBER(Manual_AuV!F9),NOT(ISNUMBER(Calc_AuV!F9))),"só manual","sem valor")))</f>
        <v>0.99683778332340689</v>
      </c>
      <c r="G9" s="12">
        <f>IF(AND(ISNUMBER(Calc_AuV!G9),ISNUMBER(Manual_AuV!G9)),Calc_AuV!G9/Manual_AuV!G9,IF(AND(ISNUMBER(Calc_AuV!G9),NOT(ISNUMBER(Manual_AuV!G9))),"só calc",IF(AND(ISNUMBER(Manual_AuV!G9),NOT(ISNUMBER(Calc_AuV!G9))),"só manual","sem valor")))</f>
        <v>1</v>
      </c>
      <c r="H9" s="12">
        <f>IF(AND(ISNUMBER(Calc_AuV!H9),ISNUMBER(Manual_AuV!H9)),Calc_AuV!H9/Manual_AuV!H9,IF(AND(ISNUMBER(Calc_AuV!H9),NOT(ISNUMBER(Manual_AuV!H9))),"só calc",IF(AND(ISNUMBER(Manual_AuV!H9),NOT(ISNUMBER(Calc_AuV!H9))),"só manual","sem valor")))</f>
        <v>0.99993580709941499</v>
      </c>
      <c r="I9" s="12">
        <f>IF(AND(ISNUMBER(Calc_AuV!I9),ISNUMBER(Manual_AuV!I9)),Calc_AuV!I9/Manual_AuV!I9,IF(AND(ISNUMBER(Calc_AuV!I9),NOT(ISNUMBER(Manual_AuV!I9))),"só calc",IF(AND(ISNUMBER(Manual_AuV!I9),NOT(ISNUMBER(Calc_AuV!I9))),"só manual","sem valor")))</f>
        <v>1</v>
      </c>
      <c r="J9" s="12">
        <f>IF(AND(ISNUMBER(Calc_AuV!J9),ISNUMBER(Manual_AuV!J9)),Calc_AuV!J9/Manual_AuV!J9,IF(AND(ISNUMBER(Calc_AuV!J9),NOT(ISNUMBER(Manual_AuV!J9))),"só calc",IF(AND(ISNUMBER(Manual_AuV!J9),NOT(ISNUMBER(Calc_AuV!J9))),"só manual","sem valor")))</f>
        <v>1.0009574695179009</v>
      </c>
      <c r="K9" s="12">
        <f>IF(AND(ISNUMBER(Calc_AuV!K9),ISNUMBER(Manual_AuV!K9)),Calc_AuV!K9/Manual_AuV!K9,IF(AND(ISNUMBER(Calc_AuV!K9),NOT(ISNUMBER(Manual_AuV!K9))),"só calc",IF(AND(ISNUMBER(Manual_AuV!K9),NOT(ISNUMBER(Calc_AuV!K9))),"só manual","sem valor")))</f>
        <v>1</v>
      </c>
      <c r="L9" s="12">
        <f>IF(AND(ISNUMBER(Calc_AuV!L9),ISNUMBER(Manual_AuV!L9)),Calc_AuV!L9/Manual_AuV!L9,IF(AND(ISNUMBER(Calc_AuV!L9),NOT(ISNUMBER(Manual_AuV!L9))),"só calc",IF(AND(ISNUMBER(Manual_AuV!L9),NOT(ISNUMBER(Calc_AuV!L9))),"só manual","sem valor")))</f>
        <v>1.0003049678879119</v>
      </c>
      <c r="M9" s="12">
        <f>IF(AND(ISNUMBER(Calc_AuV!M9),ISNUMBER(Manual_AuV!M9)),Calc_AuV!M9/Manual_AuV!M9,IF(AND(ISNUMBER(Calc_AuV!M9),NOT(ISNUMBER(Manual_AuV!M9))),"só calc",IF(AND(ISNUMBER(Manual_AuV!M9),NOT(ISNUMBER(Calc_AuV!M9))),"só manual","sem valor")))</f>
        <v>1</v>
      </c>
      <c r="N9" s="12">
        <f>IF(AND(ISNUMBER(Calc_AuV!N9),ISNUMBER(Manual_AuV!N9)),Calc_AuV!N9/Manual_AuV!N9,IF(AND(ISNUMBER(Calc_AuV!N9),NOT(ISNUMBER(Manual_AuV!N9))),"só calc",IF(AND(ISNUMBER(Manual_AuV!N9),NOT(ISNUMBER(Calc_AuV!N9))),"só manual","sem valor")))</f>
        <v>1.001155009938538</v>
      </c>
      <c r="O9" s="12">
        <f>IF(AND(ISNUMBER(Calc_AuV!O9),ISNUMBER(Manual_AuV!O9)),Calc_AuV!O9/Manual_AuV!O9,IF(AND(ISNUMBER(Calc_AuV!O9),NOT(ISNUMBER(Manual_AuV!O9))),"só calc",IF(AND(ISNUMBER(Manual_AuV!O9),NOT(ISNUMBER(Calc_AuV!O9))),"só manual","sem valor")))</f>
        <v>1</v>
      </c>
      <c r="P9" s="12">
        <f>IF(AND(ISNUMBER(Calc_AuV!P9),ISNUMBER(Manual_AuV!P9)),Calc_AuV!P9/Manual_AuV!P9,IF(AND(ISNUMBER(Calc_AuV!P9),NOT(ISNUMBER(Manual_AuV!P9))),"só calc",IF(AND(ISNUMBER(Manual_AuV!P9),NOT(ISNUMBER(Calc_AuV!P9))),"só manual","sem valor")))</f>
        <v>0.99999375690576131</v>
      </c>
      <c r="Q9" s="12">
        <f>IF(AND(ISNUMBER(Calc_AuV!Q9),ISNUMBER(Manual_AuV!Q9)),Calc_AuV!Q9/Manual_AuV!Q9,IF(AND(ISNUMBER(Calc_AuV!Q9),NOT(ISNUMBER(Manual_AuV!Q9))),"só calc",IF(AND(ISNUMBER(Manual_AuV!Q9),NOT(ISNUMBER(Calc_AuV!Q9))),"só manual","sem valor")))</f>
        <v>1</v>
      </c>
      <c r="R9" s="12">
        <f>IF(AND(ISNUMBER(Calc_AuV!R9),ISNUMBER(Manual_AuV!R9)),Calc_AuV!R9/Manual_AuV!R9,IF(AND(ISNUMBER(Calc_AuV!R9),NOT(ISNUMBER(Manual_AuV!R9))),"só calc",IF(AND(ISNUMBER(Manual_AuV!R9),NOT(ISNUMBER(Calc_AuV!R9))),"só manual","sem valor")))</f>
        <v>1.000690061299681</v>
      </c>
      <c r="S9" s="12">
        <f>IF(AND(ISNUMBER(Calc_AuV!S9),ISNUMBER(Manual_AuV!S9)),Calc_AuV!S9/Manual_AuV!S9,IF(AND(ISNUMBER(Calc_AuV!S9),NOT(ISNUMBER(Manual_AuV!S9))),"só calc",IF(AND(ISNUMBER(Manual_AuV!S9),NOT(ISNUMBER(Calc_AuV!S9))),"só manual","sem valor")))</f>
        <v>1</v>
      </c>
      <c r="T9" s="12">
        <f>IF(AND(ISNUMBER(Calc_AuV!T9),ISNUMBER(Manual_AuV!T9)),Calc_AuV!T9/Manual_AuV!T9,IF(AND(ISNUMBER(Calc_AuV!T9),NOT(ISNUMBER(Manual_AuV!T9))),"só calc",IF(AND(ISNUMBER(Manual_AuV!T9),NOT(ISNUMBER(Calc_AuV!T9))),"só manual","sem valor")))</f>
        <v>1.0002785574413973</v>
      </c>
      <c r="U9" s="12">
        <f>IF(AND(ISNUMBER(Calc_AuV!U9),ISNUMBER(Manual_AuV!U9)),Calc_AuV!U9/Manual_AuV!U9,IF(AND(ISNUMBER(Calc_AuV!U9),NOT(ISNUMBER(Manual_AuV!U9))),"só calc",IF(AND(ISNUMBER(Manual_AuV!U9),NOT(ISNUMBER(Calc_AuV!U9))),"só manual","sem valor")))</f>
        <v>1</v>
      </c>
      <c r="V9" s="12">
        <f>IF(AND(ISNUMBER(Calc_AuV!V9),ISNUMBER(Manual_AuV!V9)),Calc_AuV!V9/Manual_AuV!V9,IF(AND(ISNUMBER(Calc_AuV!V9),NOT(ISNUMBER(Manual_AuV!V9))),"só calc",IF(AND(ISNUMBER(Manual_AuV!V9),NOT(ISNUMBER(Calc_AuV!V9))),"só manual","sem valor")))</f>
        <v>1.0002846418278488</v>
      </c>
      <c r="W9" s="12">
        <f>IF(AND(ISNUMBER(Calc_AuV!W9),ISNUMBER(Manual_AuV!W9)),Calc_AuV!W9/Manual_AuV!W9,IF(AND(ISNUMBER(Calc_AuV!W9),NOT(ISNUMBER(Manual_AuV!W9))),"só calc",IF(AND(ISNUMBER(Manual_AuV!W9),NOT(ISNUMBER(Calc_AuV!W9))),"só manual","sem valor")))</f>
        <v>1</v>
      </c>
      <c r="X9" s="12">
        <f>IF(AND(ISNUMBER(Calc_AuV!X9),ISNUMBER(Manual_AuV!X9)),Calc_AuV!X9/Manual_AuV!X9,IF(AND(ISNUMBER(Calc_AuV!X9),NOT(ISNUMBER(Manual_AuV!X9))),"só calc",IF(AND(ISNUMBER(Manual_AuV!X9),NOT(ISNUMBER(Calc_AuV!X9))),"só manual","sem valor")))</f>
        <v>0.99958825867786816</v>
      </c>
    </row>
    <row r="10" spans="1:24" x14ac:dyDescent="0.25">
      <c r="A10" s="11" t="s">
        <v>53</v>
      </c>
      <c r="B10" s="11" t="str">
        <f>Calc_AuV!B10</f>
        <v>R5</v>
      </c>
      <c r="C10" s="12">
        <f>IF(AND(ISNUMBER(Calc_AuV!C10),ISNUMBER(Manual_AuV!C10)),Calc_AuV!C10/Manual_AuV!C10,IF(AND(ISNUMBER(Calc_AuV!C10),NOT(ISNUMBER(Manual_AuV!C10))),"só calc",IF(AND(ISNUMBER(Manual_AuV!C10),NOT(ISNUMBER(Calc_AuV!C10))),"só manual","sem valor")))</f>
        <v>1</v>
      </c>
      <c r="D10" s="12">
        <f>IF(AND(ISNUMBER(Calc_AuV!D10),ISNUMBER(Manual_AuV!D10)),Calc_AuV!D10/Manual_AuV!D10,IF(AND(ISNUMBER(Calc_AuV!D10),NOT(ISNUMBER(Manual_AuV!D10))),"só calc",IF(AND(ISNUMBER(Manual_AuV!D10),NOT(ISNUMBER(Calc_AuV!D10))),"só manual","sem valor")))</f>
        <v>0.99176130346417912</v>
      </c>
      <c r="E10" s="12">
        <f>IF(AND(ISNUMBER(Calc_AuV!E10),ISNUMBER(Manual_AuV!E10)),Calc_AuV!E10/Manual_AuV!E10,IF(AND(ISNUMBER(Calc_AuV!E10),NOT(ISNUMBER(Manual_AuV!E10))),"só calc",IF(AND(ISNUMBER(Manual_AuV!E10),NOT(ISNUMBER(Calc_AuV!E10))),"só manual","sem valor")))</f>
        <v>1</v>
      </c>
      <c r="F10" s="12">
        <f>IF(AND(ISNUMBER(Calc_AuV!F10),ISNUMBER(Manual_AuV!F10)),Calc_AuV!F10/Manual_AuV!F10,IF(AND(ISNUMBER(Calc_AuV!F10),NOT(ISNUMBER(Manual_AuV!F10))),"só calc",IF(AND(ISNUMBER(Manual_AuV!F10),NOT(ISNUMBER(Calc_AuV!F10))),"só manual","sem valor")))</f>
        <v>0.99854201097722595</v>
      </c>
      <c r="G10" s="12">
        <f>IF(AND(ISNUMBER(Calc_AuV!G10),ISNUMBER(Manual_AuV!G10)),Calc_AuV!G10/Manual_AuV!G10,IF(AND(ISNUMBER(Calc_AuV!G10),NOT(ISNUMBER(Manual_AuV!G10))),"só calc",IF(AND(ISNUMBER(Manual_AuV!G10),NOT(ISNUMBER(Calc_AuV!G10))),"só manual","sem valor")))</f>
        <v>1</v>
      </c>
      <c r="H10" s="12">
        <f>IF(AND(ISNUMBER(Calc_AuV!H10),ISNUMBER(Manual_AuV!H10)),Calc_AuV!H10/Manual_AuV!H10,IF(AND(ISNUMBER(Calc_AuV!H10),NOT(ISNUMBER(Manual_AuV!H10))),"só calc",IF(AND(ISNUMBER(Manual_AuV!H10),NOT(ISNUMBER(Calc_AuV!H10))),"só manual","sem valor")))</f>
        <v>0.99997712077049561</v>
      </c>
      <c r="I10" s="12">
        <f>IF(AND(ISNUMBER(Calc_AuV!I10),ISNUMBER(Manual_AuV!I10)),Calc_AuV!I10/Manual_AuV!I10,IF(AND(ISNUMBER(Calc_AuV!I10),NOT(ISNUMBER(Manual_AuV!I10))),"só calc",IF(AND(ISNUMBER(Manual_AuV!I10),NOT(ISNUMBER(Calc_AuV!I10))),"só manual","sem valor")))</f>
        <v>1</v>
      </c>
      <c r="J10" s="12">
        <f>IF(AND(ISNUMBER(Calc_AuV!J10),ISNUMBER(Manual_AuV!J10)),Calc_AuV!J10/Manual_AuV!J10,IF(AND(ISNUMBER(Calc_AuV!J10),NOT(ISNUMBER(Manual_AuV!J10))),"só calc",IF(AND(ISNUMBER(Manual_AuV!J10),NOT(ISNUMBER(Calc_AuV!J10))),"só manual","sem valor")))</f>
        <v>0.99953963984809391</v>
      </c>
      <c r="K10" s="12">
        <f>IF(AND(ISNUMBER(Calc_AuV!K10),ISNUMBER(Manual_AuV!K10)),Calc_AuV!K10/Manual_AuV!K10,IF(AND(ISNUMBER(Calc_AuV!K10),NOT(ISNUMBER(Manual_AuV!K10))),"só calc",IF(AND(ISNUMBER(Manual_AuV!K10),NOT(ISNUMBER(Calc_AuV!K10))),"só manual","sem valor")))</f>
        <v>1</v>
      </c>
      <c r="L10" s="12">
        <f>IF(AND(ISNUMBER(Calc_AuV!L10),ISNUMBER(Manual_AuV!L10)),Calc_AuV!L10/Manual_AuV!L10,IF(AND(ISNUMBER(Calc_AuV!L10),NOT(ISNUMBER(Manual_AuV!L10))),"só calc",IF(AND(ISNUMBER(Manual_AuV!L10),NOT(ISNUMBER(Calc_AuV!L10))),"só manual","sem valor")))</f>
        <v>1.0000301751957366</v>
      </c>
      <c r="M10" s="12">
        <f>IF(AND(ISNUMBER(Calc_AuV!M10),ISNUMBER(Manual_AuV!M10)),Calc_AuV!M10/Manual_AuV!M10,IF(AND(ISNUMBER(Calc_AuV!M10),NOT(ISNUMBER(Manual_AuV!M10))),"só calc",IF(AND(ISNUMBER(Manual_AuV!M10),NOT(ISNUMBER(Calc_AuV!M10))),"só manual","sem valor")))</f>
        <v>1</v>
      </c>
      <c r="N10" s="12">
        <f>IF(AND(ISNUMBER(Calc_AuV!N10),ISNUMBER(Manual_AuV!N10)),Calc_AuV!N10/Manual_AuV!N10,IF(AND(ISNUMBER(Calc_AuV!N10),NOT(ISNUMBER(Manual_AuV!N10))),"só calc",IF(AND(ISNUMBER(Manual_AuV!N10),NOT(ISNUMBER(Calc_AuV!N10))),"só manual","sem valor")))</f>
        <v>1.0002350436217247</v>
      </c>
      <c r="O10" s="12">
        <f>IF(AND(ISNUMBER(Calc_AuV!O10),ISNUMBER(Manual_AuV!O10)),Calc_AuV!O10/Manual_AuV!O10,IF(AND(ISNUMBER(Calc_AuV!O10),NOT(ISNUMBER(Manual_AuV!O10))),"só calc",IF(AND(ISNUMBER(Manual_AuV!O10),NOT(ISNUMBER(Calc_AuV!O10))),"só manual","sem valor")))</f>
        <v>1</v>
      </c>
      <c r="P10" s="12">
        <f>IF(AND(ISNUMBER(Calc_AuV!P10),ISNUMBER(Manual_AuV!P10)),Calc_AuV!P10/Manual_AuV!P10,IF(AND(ISNUMBER(Calc_AuV!P10),NOT(ISNUMBER(Manual_AuV!P10))),"só calc",IF(AND(ISNUMBER(Manual_AuV!P10),NOT(ISNUMBER(Calc_AuV!P10))),"só manual","sem valor")))</f>
        <v>1.0000055909099743</v>
      </c>
      <c r="Q10" s="12">
        <f>IF(AND(ISNUMBER(Calc_AuV!Q10),ISNUMBER(Manual_AuV!Q10)),Calc_AuV!Q10/Manual_AuV!Q10,IF(AND(ISNUMBER(Calc_AuV!Q10),NOT(ISNUMBER(Manual_AuV!Q10))),"só calc",IF(AND(ISNUMBER(Manual_AuV!Q10),NOT(ISNUMBER(Calc_AuV!Q10))),"só manual","sem valor")))</f>
        <v>1</v>
      </c>
      <c r="R10" s="12">
        <f>IF(AND(ISNUMBER(Calc_AuV!R10),ISNUMBER(Manual_AuV!R10)),Calc_AuV!R10/Manual_AuV!R10,IF(AND(ISNUMBER(Calc_AuV!R10),NOT(ISNUMBER(Manual_AuV!R10))),"só calc",IF(AND(ISNUMBER(Manual_AuV!R10),NOT(ISNUMBER(Calc_AuV!R10))),"só manual","sem valor")))</f>
        <v>1.0002031904114159</v>
      </c>
      <c r="S10" s="12">
        <f>IF(AND(ISNUMBER(Calc_AuV!S10),ISNUMBER(Manual_AuV!S10)),Calc_AuV!S10/Manual_AuV!S10,IF(AND(ISNUMBER(Calc_AuV!S10),NOT(ISNUMBER(Manual_AuV!S10))),"só calc",IF(AND(ISNUMBER(Manual_AuV!S10),NOT(ISNUMBER(Calc_AuV!S10))),"só manual","sem valor")))</f>
        <v>1</v>
      </c>
      <c r="T10" s="12">
        <f>IF(AND(ISNUMBER(Calc_AuV!T10),ISNUMBER(Manual_AuV!T10)),Calc_AuV!T10/Manual_AuV!T10,IF(AND(ISNUMBER(Calc_AuV!T10),NOT(ISNUMBER(Manual_AuV!T10))),"só calc",IF(AND(ISNUMBER(Manual_AuV!T10),NOT(ISNUMBER(Calc_AuV!T10))),"só manual","sem valor")))</f>
        <v>1.0005342544624114</v>
      </c>
      <c r="U10" s="12">
        <f>IF(AND(ISNUMBER(Calc_AuV!U10),ISNUMBER(Manual_AuV!U10)),Calc_AuV!U10/Manual_AuV!U10,IF(AND(ISNUMBER(Calc_AuV!U10),NOT(ISNUMBER(Manual_AuV!U10))),"só calc",IF(AND(ISNUMBER(Manual_AuV!U10),NOT(ISNUMBER(Calc_AuV!U10))),"só manual","sem valor")))</f>
        <v>1</v>
      </c>
      <c r="V10" s="12">
        <f>IF(AND(ISNUMBER(Calc_AuV!V10),ISNUMBER(Manual_AuV!V10)),Calc_AuV!V10/Manual_AuV!V10,IF(AND(ISNUMBER(Calc_AuV!V10),NOT(ISNUMBER(Manual_AuV!V10))),"só calc",IF(AND(ISNUMBER(Manual_AuV!V10),NOT(ISNUMBER(Calc_AuV!V10))),"só manual","sem valor")))</f>
        <v>1.0000271829542013</v>
      </c>
      <c r="W10" s="12">
        <f>IF(AND(ISNUMBER(Calc_AuV!W10),ISNUMBER(Manual_AuV!W10)),Calc_AuV!W10/Manual_AuV!W10,IF(AND(ISNUMBER(Calc_AuV!W10),NOT(ISNUMBER(Manual_AuV!W10))),"só calc",IF(AND(ISNUMBER(Manual_AuV!W10),NOT(ISNUMBER(Calc_AuV!W10))),"só manual","sem valor")))</f>
        <v>1</v>
      </c>
      <c r="X10" s="12">
        <f>IF(AND(ISNUMBER(Calc_AuV!X10),ISNUMBER(Manual_AuV!X10)),Calc_AuV!X10/Manual_AuV!X10,IF(AND(ISNUMBER(Calc_AuV!X10),NOT(ISNUMBER(Manual_AuV!X10))),"só calc",IF(AND(ISNUMBER(Manual_AuV!X10),NOT(ISNUMBER(Calc_AuV!X10))),"só manual","sem valor")))</f>
        <v>1.0003172752164637</v>
      </c>
    </row>
    <row r="11" spans="1:24" x14ac:dyDescent="0.25">
      <c r="A11" s="11" t="s">
        <v>54</v>
      </c>
      <c r="B11" s="11" t="str">
        <f>Calc_AuV!B11</f>
        <v>R6</v>
      </c>
      <c r="C11" s="12">
        <f>IF(AND(ISNUMBER(Calc_AuV!C11),ISNUMBER(Manual_AuV!C11)),Calc_AuV!C11/Manual_AuV!C11,IF(AND(ISNUMBER(Calc_AuV!C11),NOT(ISNUMBER(Manual_AuV!C11))),"só calc",IF(AND(ISNUMBER(Manual_AuV!C11),NOT(ISNUMBER(Calc_AuV!C11))),"só manual","sem valor")))</f>
        <v>1</v>
      </c>
      <c r="D11" s="12">
        <f>IF(AND(ISNUMBER(Calc_AuV!D11),ISNUMBER(Manual_AuV!D11)),Calc_AuV!D11/Manual_AuV!D11,IF(AND(ISNUMBER(Calc_AuV!D11),NOT(ISNUMBER(Manual_AuV!D11))),"só calc",IF(AND(ISNUMBER(Manual_AuV!D11),NOT(ISNUMBER(Calc_AuV!D11))),"só manual","sem valor")))</f>
        <v>0.99245199868177036</v>
      </c>
      <c r="E11" s="12">
        <f>IF(AND(ISNUMBER(Calc_AuV!E11),ISNUMBER(Manual_AuV!E11)),Calc_AuV!E11/Manual_AuV!E11,IF(AND(ISNUMBER(Calc_AuV!E11),NOT(ISNUMBER(Manual_AuV!E11))),"só calc",IF(AND(ISNUMBER(Manual_AuV!E11),NOT(ISNUMBER(Calc_AuV!E11))),"só manual","sem valor")))</f>
        <v>1</v>
      </c>
      <c r="F11" s="12">
        <f>IF(AND(ISNUMBER(Calc_AuV!F11),ISNUMBER(Manual_AuV!F11)),Calc_AuV!F11/Manual_AuV!F11,IF(AND(ISNUMBER(Calc_AuV!F11),NOT(ISNUMBER(Manual_AuV!F11))),"só calc",IF(AND(ISNUMBER(Manual_AuV!F11),NOT(ISNUMBER(Calc_AuV!F11))),"só manual","sem valor")))</f>
        <v>0.99473316511288512</v>
      </c>
      <c r="G11" s="12">
        <f>IF(AND(ISNUMBER(Calc_AuV!G11),ISNUMBER(Manual_AuV!G11)),Calc_AuV!G11/Manual_AuV!G11,IF(AND(ISNUMBER(Calc_AuV!G11),NOT(ISNUMBER(Manual_AuV!G11))),"só calc",IF(AND(ISNUMBER(Manual_AuV!G11),NOT(ISNUMBER(Calc_AuV!G11))),"só manual","sem valor")))</f>
        <v>1</v>
      </c>
      <c r="H11" s="12">
        <f>IF(AND(ISNUMBER(Calc_AuV!H11),ISNUMBER(Manual_AuV!H11)),Calc_AuV!H11/Manual_AuV!H11,IF(AND(ISNUMBER(Calc_AuV!H11),NOT(ISNUMBER(Manual_AuV!H11))),"só calc",IF(AND(ISNUMBER(Manual_AuV!H11),NOT(ISNUMBER(Calc_AuV!H11))),"só manual","sem valor")))</f>
        <v>1.0000639472390624</v>
      </c>
      <c r="I11" s="12">
        <f>IF(AND(ISNUMBER(Calc_AuV!I11),ISNUMBER(Manual_AuV!I11)),Calc_AuV!I11/Manual_AuV!I11,IF(AND(ISNUMBER(Calc_AuV!I11),NOT(ISNUMBER(Manual_AuV!I11))),"só calc",IF(AND(ISNUMBER(Manual_AuV!I11),NOT(ISNUMBER(Calc_AuV!I11))),"só manual","sem valor")))</f>
        <v>1</v>
      </c>
      <c r="J11" s="12">
        <f>IF(AND(ISNUMBER(Calc_AuV!J11),ISNUMBER(Manual_AuV!J11)),Calc_AuV!J11/Manual_AuV!J11,IF(AND(ISNUMBER(Calc_AuV!J11),NOT(ISNUMBER(Manual_AuV!J11))),"só calc",IF(AND(ISNUMBER(Manual_AuV!J11),NOT(ISNUMBER(Calc_AuV!J11))),"só manual","sem valor")))</f>
        <v>1.0004463038375178</v>
      </c>
      <c r="K11" s="12">
        <f>IF(AND(ISNUMBER(Calc_AuV!K11),ISNUMBER(Manual_AuV!K11)),Calc_AuV!K11/Manual_AuV!K11,IF(AND(ISNUMBER(Calc_AuV!K11),NOT(ISNUMBER(Manual_AuV!K11))),"só calc",IF(AND(ISNUMBER(Manual_AuV!K11),NOT(ISNUMBER(Calc_AuV!K11))),"só manual","sem valor")))</f>
        <v>1</v>
      </c>
      <c r="L11" s="12">
        <f>IF(AND(ISNUMBER(Calc_AuV!L11),ISNUMBER(Manual_AuV!L11)),Calc_AuV!L11/Manual_AuV!L11,IF(AND(ISNUMBER(Calc_AuV!L11),NOT(ISNUMBER(Manual_AuV!L11))),"só calc",IF(AND(ISNUMBER(Manual_AuV!L11),NOT(ISNUMBER(Calc_AuV!L11))),"só manual","sem valor")))</f>
        <v>1.0000870278587928</v>
      </c>
      <c r="M11" s="12">
        <f>IF(AND(ISNUMBER(Calc_AuV!M11),ISNUMBER(Manual_AuV!M11)),Calc_AuV!M11/Manual_AuV!M11,IF(AND(ISNUMBER(Calc_AuV!M11),NOT(ISNUMBER(Manual_AuV!M11))),"só calc",IF(AND(ISNUMBER(Manual_AuV!M11),NOT(ISNUMBER(Calc_AuV!M11))),"só manual","sem valor")))</f>
        <v>1</v>
      </c>
      <c r="N11" s="12">
        <f>IF(AND(ISNUMBER(Calc_AuV!N11),ISNUMBER(Manual_AuV!N11)),Calc_AuV!N11/Manual_AuV!N11,IF(AND(ISNUMBER(Calc_AuV!N11),NOT(ISNUMBER(Manual_AuV!N11))),"só calc",IF(AND(ISNUMBER(Manual_AuV!N11),NOT(ISNUMBER(Calc_AuV!N11))),"só manual","sem valor")))</f>
        <v>1.0002570274229869</v>
      </c>
      <c r="O11" s="12">
        <f>IF(AND(ISNUMBER(Calc_AuV!O11),ISNUMBER(Manual_AuV!O11)),Calc_AuV!O11/Manual_AuV!O11,IF(AND(ISNUMBER(Calc_AuV!O11),NOT(ISNUMBER(Manual_AuV!O11))),"só calc",IF(AND(ISNUMBER(Manual_AuV!O11),NOT(ISNUMBER(Calc_AuV!O11))),"só manual","sem valor")))</f>
        <v>1</v>
      </c>
      <c r="P11" s="12">
        <f>IF(AND(ISNUMBER(Calc_AuV!P11),ISNUMBER(Manual_AuV!P11)),Calc_AuV!P11/Manual_AuV!P11,IF(AND(ISNUMBER(Calc_AuV!P11),NOT(ISNUMBER(Manual_AuV!P11))),"só calc",IF(AND(ISNUMBER(Manual_AuV!P11),NOT(ISNUMBER(Calc_AuV!P11))),"só manual","sem valor")))</f>
        <v>0.99999220213380136</v>
      </c>
      <c r="Q11" s="12">
        <f>IF(AND(ISNUMBER(Calc_AuV!Q11),ISNUMBER(Manual_AuV!Q11)),Calc_AuV!Q11/Manual_AuV!Q11,IF(AND(ISNUMBER(Calc_AuV!Q11),NOT(ISNUMBER(Manual_AuV!Q11))),"só calc",IF(AND(ISNUMBER(Manual_AuV!Q11),NOT(ISNUMBER(Calc_AuV!Q11))),"só manual","sem valor")))</f>
        <v>1</v>
      </c>
      <c r="R11" s="12">
        <f>IF(AND(ISNUMBER(Calc_AuV!R11),ISNUMBER(Manual_AuV!R11)),Calc_AuV!R11/Manual_AuV!R11,IF(AND(ISNUMBER(Calc_AuV!R11),NOT(ISNUMBER(Manual_AuV!R11))),"só calc",IF(AND(ISNUMBER(Manual_AuV!R11),NOT(ISNUMBER(Calc_AuV!R11))),"só manual","sem valor")))</f>
        <v>1.0001396544061161</v>
      </c>
      <c r="S11" s="12">
        <f>IF(AND(ISNUMBER(Calc_AuV!S11),ISNUMBER(Manual_AuV!S11)),Calc_AuV!S11/Manual_AuV!S11,IF(AND(ISNUMBER(Calc_AuV!S11),NOT(ISNUMBER(Manual_AuV!S11))),"só calc",IF(AND(ISNUMBER(Manual_AuV!S11),NOT(ISNUMBER(Calc_AuV!S11))),"só manual","sem valor")))</f>
        <v>1</v>
      </c>
      <c r="T11" s="12">
        <f>IF(AND(ISNUMBER(Calc_AuV!T11),ISNUMBER(Manual_AuV!T11)),Calc_AuV!T11/Manual_AuV!T11,IF(AND(ISNUMBER(Calc_AuV!T11),NOT(ISNUMBER(Manual_AuV!T11))),"só calc",IF(AND(ISNUMBER(Manual_AuV!T11),NOT(ISNUMBER(Calc_AuV!T11))),"só manual","sem valor")))</f>
        <v>1.000423094677275</v>
      </c>
      <c r="U11" s="12">
        <f>IF(AND(ISNUMBER(Calc_AuV!U11),ISNUMBER(Manual_AuV!U11)),Calc_AuV!U11/Manual_AuV!U11,IF(AND(ISNUMBER(Calc_AuV!U11),NOT(ISNUMBER(Manual_AuV!U11))),"só calc",IF(AND(ISNUMBER(Manual_AuV!U11),NOT(ISNUMBER(Calc_AuV!U11))),"só manual","sem valor")))</f>
        <v>1</v>
      </c>
      <c r="V11" s="12">
        <f>IF(AND(ISNUMBER(Calc_AuV!V11),ISNUMBER(Manual_AuV!V11)),Calc_AuV!V11/Manual_AuV!V11,IF(AND(ISNUMBER(Calc_AuV!V11),NOT(ISNUMBER(Manual_AuV!V11))),"só calc",IF(AND(ISNUMBER(Manual_AuV!V11),NOT(ISNUMBER(Calc_AuV!V11))),"só manual","sem valor")))</f>
        <v>1.0005191652853818</v>
      </c>
      <c r="W11" s="12">
        <f>IF(AND(ISNUMBER(Calc_AuV!W11),ISNUMBER(Manual_AuV!W11)),Calc_AuV!W11/Manual_AuV!W11,IF(AND(ISNUMBER(Calc_AuV!W11),NOT(ISNUMBER(Manual_AuV!W11))),"só calc",IF(AND(ISNUMBER(Manual_AuV!W11),NOT(ISNUMBER(Calc_AuV!W11))),"só manual","sem valor")))</f>
        <v>1</v>
      </c>
      <c r="X11" s="12">
        <f>IF(AND(ISNUMBER(Calc_AuV!X11),ISNUMBER(Manual_AuV!X11)),Calc_AuV!X11/Manual_AuV!X11,IF(AND(ISNUMBER(Calc_AuV!X11),NOT(ISNUMBER(Manual_AuV!X11))),"só calc",IF(AND(ISNUMBER(Manual_AuV!X11),NOT(ISNUMBER(Calc_AuV!X11))),"só manual","sem valor")))</f>
        <v>1.0000384349605664</v>
      </c>
    </row>
    <row r="12" spans="1:24" x14ac:dyDescent="0.25">
      <c r="A12" s="11" t="s">
        <v>55</v>
      </c>
      <c r="B12" s="11" t="str">
        <f>Calc_AuV!B12</f>
        <v>R7</v>
      </c>
      <c r="C12" s="12">
        <f>IF(AND(ISNUMBER(Calc_AuV!C12),ISNUMBER(Manual_AuV!C12)),Calc_AuV!C12/Manual_AuV!C12,IF(AND(ISNUMBER(Calc_AuV!C12),NOT(ISNUMBER(Manual_AuV!C12))),"só calc",IF(AND(ISNUMBER(Manual_AuV!C12),NOT(ISNUMBER(Calc_AuV!C12))),"só manual","sem valor")))</f>
        <v>1</v>
      </c>
      <c r="D12" s="12">
        <f>IF(AND(ISNUMBER(Calc_AuV!D12),ISNUMBER(Manual_AuV!D12)),Calc_AuV!D12/Manual_AuV!D12,IF(AND(ISNUMBER(Calc_AuV!D12),NOT(ISNUMBER(Manual_AuV!D12))),"só calc",IF(AND(ISNUMBER(Manual_AuV!D12),NOT(ISNUMBER(Calc_AuV!D12))),"só manual","sem valor")))</f>
        <v>1.0076997902782365</v>
      </c>
      <c r="E12" s="12">
        <f>IF(AND(ISNUMBER(Calc_AuV!E12),ISNUMBER(Manual_AuV!E12)),Calc_AuV!E12/Manual_AuV!E12,IF(AND(ISNUMBER(Calc_AuV!E12),NOT(ISNUMBER(Manual_AuV!E12))),"só calc",IF(AND(ISNUMBER(Manual_AuV!E12),NOT(ISNUMBER(Calc_AuV!E12))),"só manual","sem valor")))</f>
        <v>1</v>
      </c>
      <c r="F12" s="12">
        <f>IF(AND(ISNUMBER(Calc_AuV!F12),ISNUMBER(Manual_AuV!F12)),Calc_AuV!F12/Manual_AuV!F12,IF(AND(ISNUMBER(Calc_AuV!F12),NOT(ISNUMBER(Manual_AuV!F12))),"só calc",IF(AND(ISNUMBER(Manual_AuV!F12),NOT(ISNUMBER(Calc_AuV!F12))),"só manual","sem valor")))</f>
        <v>1.0000877413637985</v>
      </c>
      <c r="G12" s="12">
        <f>IF(AND(ISNUMBER(Calc_AuV!G12),ISNUMBER(Manual_AuV!G12)),Calc_AuV!G12/Manual_AuV!G12,IF(AND(ISNUMBER(Calc_AuV!G12),NOT(ISNUMBER(Manual_AuV!G12))),"só calc",IF(AND(ISNUMBER(Manual_AuV!G12),NOT(ISNUMBER(Calc_AuV!G12))),"só manual","sem valor")))</f>
        <v>1</v>
      </c>
      <c r="H12" s="12">
        <f>IF(AND(ISNUMBER(Calc_AuV!H12),ISNUMBER(Manual_AuV!H12)),Calc_AuV!H12/Manual_AuV!H12,IF(AND(ISNUMBER(Calc_AuV!H12),NOT(ISNUMBER(Manual_AuV!H12))),"só calc",IF(AND(ISNUMBER(Manual_AuV!H12),NOT(ISNUMBER(Calc_AuV!H12))),"só manual","sem valor")))</f>
        <v>1.0002031226859929</v>
      </c>
      <c r="I12" s="12">
        <f>IF(AND(ISNUMBER(Calc_AuV!I12),ISNUMBER(Manual_AuV!I12)),Calc_AuV!I12/Manual_AuV!I12,IF(AND(ISNUMBER(Calc_AuV!I12),NOT(ISNUMBER(Manual_AuV!I12))),"só calc",IF(AND(ISNUMBER(Manual_AuV!I12),NOT(ISNUMBER(Calc_AuV!I12))),"só manual","sem valor")))</f>
        <v>1</v>
      </c>
      <c r="J12" s="12">
        <f>IF(AND(ISNUMBER(Calc_AuV!J12),ISNUMBER(Manual_AuV!J12)),Calc_AuV!J12/Manual_AuV!J12,IF(AND(ISNUMBER(Calc_AuV!J12),NOT(ISNUMBER(Manual_AuV!J12))),"só calc",IF(AND(ISNUMBER(Manual_AuV!J12),NOT(ISNUMBER(Calc_AuV!J12))),"só manual","sem valor")))</f>
        <v>0.99966454629627544</v>
      </c>
      <c r="K12" s="12">
        <f>IF(AND(ISNUMBER(Calc_AuV!K12),ISNUMBER(Manual_AuV!K12)),Calc_AuV!K12/Manual_AuV!K12,IF(AND(ISNUMBER(Calc_AuV!K12),NOT(ISNUMBER(Manual_AuV!K12))),"só calc",IF(AND(ISNUMBER(Manual_AuV!K12),NOT(ISNUMBER(Calc_AuV!K12))),"só manual","sem valor")))</f>
        <v>1</v>
      </c>
      <c r="L12" s="12">
        <f>IF(AND(ISNUMBER(Calc_AuV!L12),ISNUMBER(Manual_AuV!L12)),Calc_AuV!L12/Manual_AuV!L12,IF(AND(ISNUMBER(Calc_AuV!L12),NOT(ISNUMBER(Manual_AuV!L12))),"só calc",IF(AND(ISNUMBER(Manual_AuV!L12),NOT(ISNUMBER(Calc_AuV!L12))),"só manual","sem valor")))</f>
        <v>0.99995142732525</v>
      </c>
      <c r="M12" s="12">
        <f>IF(AND(ISNUMBER(Calc_AuV!M12),ISNUMBER(Manual_AuV!M12)),Calc_AuV!M12/Manual_AuV!M12,IF(AND(ISNUMBER(Calc_AuV!M12),NOT(ISNUMBER(Manual_AuV!M12))),"só calc",IF(AND(ISNUMBER(Manual_AuV!M12),NOT(ISNUMBER(Calc_AuV!M12))),"só manual","sem valor")))</f>
        <v>1</v>
      </c>
      <c r="N12" s="12">
        <f>IF(AND(ISNUMBER(Calc_AuV!N12),ISNUMBER(Manual_AuV!N12)),Calc_AuV!N12/Manual_AuV!N12,IF(AND(ISNUMBER(Calc_AuV!N12),NOT(ISNUMBER(Manual_AuV!N12))),"só calc",IF(AND(ISNUMBER(Manual_AuV!N12),NOT(ISNUMBER(Calc_AuV!N12))),"só manual","sem valor")))</f>
        <v>0.9989398748363626</v>
      </c>
      <c r="O12" s="12">
        <f>IF(AND(ISNUMBER(Calc_AuV!O12),ISNUMBER(Manual_AuV!O12)),Calc_AuV!O12/Manual_AuV!O12,IF(AND(ISNUMBER(Calc_AuV!O12),NOT(ISNUMBER(Manual_AuV!O12))),"só calc",IF(AND(ISNUMBER(Manual_AuV!O12),NOT(ISNUMBER(Calc_AuV!O12))),"só manual","sem valor")))</f>
        <v>1</v>
      </c>
      <c r="P12" s="12">
        <f>IF(AND(ISNUMBER(Calc_AuV!P12),ISNUMBER(Manual_AuV!P12)),Calc_AuV!P12/Manual_AuV!P12,IF(AND(ISNUMBER(Calc_AuV!P12),NOT(ISNUMBER(Manual_AuV!P12))),"só calc",IF(AND(ISNUMBER(Manual_AuV!P12),NOT(ISNUMBER(Calc_AuV!P12))),"só manual","sem valor")))</f>
        <v>0.99999957337545109</v>
      </c>
      <c r="Q12" s="12">
        <f>IF(AND(ISNUMBER(Calc_AuV!Q12),ISNUMBER(Manual_AuV!Q12)),Calc_AuV!Q12/Manual_AuV!Q12,IF(AND(ISNUMBER(Calc_AuV!Q12),NOT(ISNUMBER(Manual_AuV!Q12))),"só calc",IF(AND(ISNUMBER(Manual_AuV!Q12),NOT(ISNUMBER(Calc_AuV!Q12))),"só manual","sem valor")))</f>
        <v>1</v>
      </c>
      <c r="R12" s="12">
        <f>IF(AND(ISNUMBER(Calc_AuV!R12),ISNUMBER(Manual_AuV!R12)),Calc_AuV!R12/Manual_AuV!R12,IF(AND(ISNUMBER(Calc_AuV!R12),NOT(ISNUMBER(Manual_AuV!R12))),"só calc",IF(AND(ISNUMBER(Manual_AuV!R12),NOT(ISNUMBER(Calc_AuV!R12))),"só manual","sem valor")))</f>
        <v>0.99970406269130097</v>
      </c>
      <c r="S12" s="12">
        <f>IF(AND(ISNUMBER(Calc_AuV!S12),ISNUMBER(Manual_AuV!S12)),Calc_AuV!S12/Manual_AuV!S12,IF(AND(ISNUMBER(Calc_AuV!S12),NOT(ISNUMBER(Manual_AuV!S12))),"só calc",IF(AND(ISNUMBER(Manual_AuV!S12),NOT(ISNUMBER(Calc_AuV!S12))),"só manual","sem valor")))</f>
        <v>1</v>
      </c>
      <c r="T12" s="12">
        <f>IF(AND(ISNUMBER(Calc_AuV!T12),ISNUMBER(Manual_AuV!T12)),Calc_AuV!T12/Manual_AuV!T12,IF(AND(ISNUMBER(Calc_AuV!T12),NOT(ISNUMBER(Manual_AuV!T12))),"só calc",IF(AND(ISNUMBER(Manual_AuV!T12),NOT(ISNUMBER(Calc_AuV!T12))),"só manual","sem valor")))</f>
        <v>0.99916718649789216</v>
      </c>
      <c r="U12" s="12">
        <f>IF(AND(ISNUMBER(Calc_AuV!U12),ISNUMBER(Manual_AuV!U12)),Calc_AuV!U12/Manual_AuV!U12,IF(AND(ISNUMBER(Calc_AuV!U12),NOT(ISNUMBER(Manual_AuV!U12))),"só calc",IF(AND(ISNUMBER(Manual_AuV!U12),NOT(ISNUMBER(Calc_AuV!U12))),"só manual","sem valor")))</f>
        <v>1</v>
      </c>
      <c r="V12" s="12">
        <f>IF(AND(ISNUMBER(Calc_AuV!V12),ISNUMBER(Manual_AuV!V12)),Calc_AuV!V12/Manual_AuV!V12,IF(AND(ISNUMBER(Calc_AuV!V12),NOT(ISNUMBER(Manual_AuV!V12))),"só calc",IF(AND(ISNUMBER(Manual_AuV!V12),NOT(ISNUMBER(Calc_AuV!V12))),"só manual","sem valor")))</f>
        <v>0.99930594217818802</v>
      </c>
      <c r="W12" s="12">
        <f>IF(AND(ISNUMBER(Calc_AuV!W12),ISNUMBER(Manual_AuV!W12)),Calc_AuV!W12/Manual_AuV!W12,IF(AND(ISNUMBER(Calc_AuV!W12),NOT(ISNUMBER(Manual_AuV!W12))),"só calc",IF(AND(ISNUMBER(Manual_AuV!W12),NOT(ISNUMBER(Calc_AuV!W12))),"só manual","sem valor")))</f>
        <v>1</v>
      </c>
      <c r="X12" s="12">
        <f>IF(AND(ISNUMBER(Calc_AuV!X12),ISNUMBER(Manual_AuV!X12)),Calc_AuV!X12/Manual_AuV!X12,IF(AND(ISNUMBER(Calc_AuV!X12),NOT(ISNUMBER(Manual_AuV!X12))),"só calc",IF(AND(ISNUMBER(Manual_AuV!X12),NOT(ISNUMBER(Calc_AuV!X12))),"só manual","sem valor")))</f>
        <v>0.99975177224718514</v>
      </c>
    </row>
    <row r="13" spans="1:24" x14ac:dyDescent="0.25">
      <c r="A13" s="11" t="s">
        <v>56</v>
      </c>
      <c r="B13" s="11" t="str">
        <f>Calc_AuV!B13</f>
        <v>R8</v>
      </c>
      <c r="C13" s="12">
        <f>IF(AND(ISNUMBER(Calc_AuV!C13),ISNUMBER(Manual_AuV!C13)),Calc_AuV!C13/Manual_AuV!C13,IF(AND(ISNUMBER(Calc_AuV!C13),NOT(ISNUMBER(Manual_AuV!C13))),"só calc",IF(AND(ISNUMBER(Manual_AuV!C13),NOT(ISNUMBER(Calc_AuV!C13))),"só manual","sem valor")))</f>
        <v>1</v>
      </c>
      <c r="D13" s="12">
        <f>IF(AND(ISNUMBER(Calc_AuV!D13),ISNUMBER(Manual_AuV!D13)),Calc_AuV!D13/Manual_AuV!D13,IF(AND(ISNUMBER(Calc_AuV!D13),NOT(ISNUMBER(Manual_AuV!D13))),"só calc",IF(AND(ISNUMBER(Manual_AuV!D13),NOT(ISNUMBER(Calc_AuV!D13))),"só manual","sem valor")))</f>
        <v>1.0054684545738102</v>
      </c>
      <c r="E13" s="12">
        <f>IF(AND(ISNUMBER(Calc_AuV!E13),ISNUMBER(Manual_AuV!E13)),Calc_AuV!E13/Manual_AuV!E13,IF(AND(ISNUMBER(Calc_AuV!E13),NOT(ISNUMBER(Manual_AuV!E13))),"só calc",IF(AND(ISNUMBER(Manual_AuV!E13),NOT(ISNUMBER(Calc_AuV!E13))),"só manual","sem valor")))</f>
        <v>1</v>
      </c>
      <c r="F13" s="12">
        <f>IF(AND(ISNUMBER(Calc_AuV!F13),ISNUMBER(Manual_AuV!F13)),Calc_AuV!F13/Manual_AuV!F13,IF(AND(ISNUMBER(Calc_AuV!F13),NOT(ISNUMBER(Manual_AuV!F13))),"só calc",IF(AND(ISNUMBER(Manual_AuV!F13),NOT(ISNUMBER(Calc_AuV!F13))),"só manual","sem valor")))</f>
        <v>0.99990677922409421</v>
      </c>
      <c r="G13" s="12">
        <f>IF(AND(ISNUMBER(Calc_AuV!G13),ISNUMBER(Manual_AuV!G13)),Calc_AuV!G13/Manual_AuV!G13,IF(AND(ISNUMBER(Calc_AuV!G13),NOT(ISNUMBER(Manual_AuV!G13))),"só calc",IF(AND(ISNUMBER(Manual_AuV!G13),NOT(ISNUMBER(Calc_AuV!G13))),"só manual","sem valor")))</f>
        <v>1</v>
      </c>
      <c r="H13" s="12">
        <f>IF(AND(ISNUMBER(Calc_AuV!H13),ISNUMBER(Manual_AuV!H13)),Calc_AuV!H13/Manual_AuV!H13,IF(AND(ISNUMBER(Calc_AuV!H13),NOT(ISNUMBER(Manual_AuV!H13))),"só calc",IF(AND(ISNUMBER(Manual_AuV!H13),NOT(ISNUMBER(Calc_AuV!H13))),"só manual","sem valor")))</f>
        <v>0.99982487921039631</v>
      </c>
      <c r="I13" s="12">
        <f>IF(AND(ISNUMBER(Calc_AuV!I13),ISNUMBER(Manual_AuV!I13)),Calc_AuV!I13/Manual_AuV!I13,IF(AND(ISNUMBER(Calc_AuV!I13),NOT(ISNUMBER(Manual_AuV!I13))),"só calc",IF(AND(ISNUMBER(Manual_AuV!I13),NOT(ISNUMBER(Calc_AuV!I13))),"só manual","sem valor")))</f>
        <v>1</v>
      </c>
      <c r="J13" s="12">
        <f>IF(AND(ISNUMBER(Calc_AuV!J13),ISNUMBER(Manual_AuV!J13)),Calc_AuV!J13/Manual_AuV!J13,IF(AND(ISNUMBER(Calc_AuV!J13),NOT(ISNUMBER(Manual_AuV!J13))),"só calc",IF(AND(ISNUMBER(Manual_AuV!J13),NOT(ISNUMBER(Calc_AuV!J13))),"só manual","sem valor")))</f>
        <v>1.0006747697241216</v>
      </c>
      <c r="K13" s="12">
        <f>IF(AND(ISNUMBER(Calc_AuV!K13),ISNUMBER(Manual_AuV!K13)),Calc_AuV!K13/Manual_AuV!K13,IF(AND(ISNUMBER(Calc_AuV!K13),NOT(ISNUMBER(Manual_AuV!K13))),"só calc",IF(AND(ISNUMBER(Manual_AuV!K13),NOT(ISNUMBER(Calc_AuV!K13))),"só manual","sem valor")))</f>
        <v>1</v>
      </c>
      <c r="L13" s="12">
        <f>IF(AND(ISNUMBER(Calc_AuV!L13),ISNUMBER(Manual_AuV!L13)),Calc_AuV!L13/Manual_AuV!L13,IF(AND(ISNUMBER(Calc_AuV!L13),NOT(ISNUMBER(Manual_AuV!L13))),"só calc",IF(AND(ISNUMBER(Manual_AuV!L13),NOT(ISNUMBER(Calc_AuV!L13))),"só manual","sem valor")))</f>
        <v>0.9999886890132601</v>
      </c>
      <c r="M13" s="12">
        <f>IF(AND(ISNUMBER(Calc_AuV!M13),ISNUMBER(Manual_AuV!M13)),Calc_AuV!M13/Manual_AuV!M13,IF(AND(ISNUMBER(Calc_AuV!M13),NOT(ISNUMBER(Manual_AuV!M13))),"só calc",IF(AND(ISNUMBER(Manual_AuV!M13),NOT(ISNUMBER(Calc_AuV!M13))),"só manual","sem valor")))</f>
        <v>1</v>
      </c>
      <c r="N13" s="12">
        <f>IF(AND(ISNUMBER(Calc_AuV!N13),ISNUMBER(Manual_AuV!N13)),Calc_AuV!N13/Manual_AuV!N13,IF(AND(ISNUMBER(Calc_AuV!N13),NOT(ISNUMBER(Manual_AuV!N13))),"só calc",IF(AND(ISNUMBER(Manual_AuV!N13),NOT(ISNUMBER(Calc_AuV!N13))),"só manual","sem valor")))</f>
        <v>1.0001444718519532</v>
      </c>
      <c r="O13" s="12">
        <f>IF(AND(ISNUMBER(Calc_AuV!O13),ISNUMBER(Manual_AuV!O13)),Calc_AuV!O13/Manual_AuV!O13,IF(AND(ISNUMBER(Calc_AuV!O13),NOT(ISNUMBER(Manual_AuV!O13))),"só calc",IF(AND(ISNUMBER(Manual_AuV!O13),NOT(ISNUMBER(Calc_AuV!O13))),"só manual","sem valor")))</f>
        <v>1</v>
      </c>
      <c r="P13" s="12">
        <f>IF(AND(ISNUMBER(Calc_AuV!P13),ISNUMBER(Manual_AuV!P13)),Calc_AuV!P13/Manual_AuV!P13,IF(AND(ISNUMBER(Calc_AuV!P13),NOT(ISNUMBER(Manual_AuV!P13))),"só calc",IF(AND(ISNUMBER(Manual_AuV!P13),NOT(ISNUMBER(Calc_AuV!P13))),"só manual","sem valor")))</f>
        <v>0.99999650016575337</v>
      </c>
      <c r="Q13" s="12">
        <f>IF(AND(ISNUMBER(Calc_AuV!Q13),ISNUMBER(Manual_AuV!Q13)),Calc_AuV!Q13/Manual_AuV!Q13,IF(AND(ISNUMBER(Calc_AuV!Q13),NOT(ISNUMBER(Manual_AuV!Q13))),"só calc",IF(AND(ISNUMBER(Manual_AuV!Q13),NOT(ISNUMBER(Calc_AuV!Q13))),"só manual","sem valor")))</f>
        <v>1</v>
      </c>
      <c r="R13" s="12">
        <f>IF(AND(ISNUMBER(Calc_AuV!R13),ISNUMBER(Manual_AuV!R13)),Calc_AuV!R13/Manual_AuV!R13,IF(AND(ISNUMBER(Calc_AuV!R13),NOT(ISNUMBER(Manual_AuV!R13))),"só calc",IF(AND(ISNUMBER(Manual_AuV!R13),NOT(ISNUMBER(Calc_AuV!R13))),"só manual","sem valor")))</f>
        <v>1.0001048719092058</v>
      </c>
      <c r="S13" s="12">
        <f>IF(AND(ISNUMBER(Calc_AuV!S13),ISNUMBER(Manual_AuV!S13)),Calc_AuV!S13/Manual_AuV!S13,IF(AND(ISNUMBER(Calc_AuV!S13),NOT(ISNUMBER(Manual_AuV!S13))),"só calc",IF(AND(ISNUMBER(Manual_AuV!S13),NOT(ISNUMBER(Calc_AuV!S13))),"só manual","sem valor")))</f>
        <v>1</v>
      </c>
      <c r="T13" s="12">
        <f>IF(AND(ISNUMBER(Calc_AuV!T13),ISNUMBER(Manual_AuV!T13)),Calc_AuV!T13/Manual_AuV!T13,IF(AND(ISNUMBER(Calc_AuV!T13),NOT(ISNUMBER(Manual_AuV!T13))),"só calc",IF(AND(ISNUMBER(Manual_AuV!T13),NOT(ISNUMBER(Calc_AuV!T13))),"só manual","sem valor")))</f>
        <v>0.99943917579962316</v>
      </c>
      <c r="U13" s="12">
        <f>IF(AND(ISNUMBER(Calc_AuV!U13),ISNUMBER(Manual_AuV!U13)),Calc_AuV!U13/Manual_AuV!U13,IF(AND(ISNUMBER(Calc_AuV!U13),NOT(ISNUMBER(Manual_AuV!U13))),"só calc",IF(AND(ISNUMBER(Manual_AuV!U13),NOT(ISNUMBER(Calc_AuV!U13))),"só manual","sem valor")))</f>
        <v>1</v>
      </c>
      <c r="V13" s="12">
        <f>IF(AND(ISNUMBER(Calc_AuV!V13),ISNUMBER(Manual_AuV!V13)),Calc_AuV!V13/Manual_AuV!V13,IF(AND(ISNUMBER(Calc_AuV!V13),NOT(ISNUMBER(Manual_AuV!V13))),"só calc",IF(AND(ISNUMBER(Manual_AuV!V13),NOT(ISNUMBER(Calc_AuV!V13))),"só manual","sem valor")))</f>
        <v>1.0001066896224395</v>
      </c>
      <c r="W13" s="12">
        <f>IF(AND(ISNUMBER(Calc_AuV!W13),ISNUMBER(Manual_AuV!W13)),Calc_AuV!W13/Manual_AuV!W13,IF(AND(ISNUMBER(Calc_AuV!W13),NOT(ISNUMBER(Manual_AuV!W13))),"só calc",IF(AND(ISNUMBER(Manual_AuV!W13),NOT(ISNUMBER(Calc_AuV!W13))),"só manual","sem valor")))</f>
        <v>1</v>
      </c>
      <c r="X13" s="12">
        <f>IF(AND(ISNUMBER(Calc_AuV!X13),ISNUMBER(Manual_AuV!X13)),Calc_AuV!X13/Manual_AuV!X13,IF(AND(ISNUMBER(Calc_AuV!X13),NOT(ISNUMBER(Manual_AuV!X13))),"só calc",IF(AND(ISNUMBER(Manual_AuV!X13),NOT(ISNUMBER(Calc_AuV!X13))),"só manual","sem valor")))</f>
        <v>0.99992489979124433</v>
      </c>
    </row>
    <row r="14" spans="1:24" x14ac:dyDescent="0.25">
      <c r="A14" s="11" t="s">
        <v>57</v>
      </c>
      <c r="B14" s="11" t="str">
        <f>Calc_AuV!B14</f>
        <v>R9</v>
      </c>
      <c r="C14" s="12">
        <f>IF(AND(ISNUMBER(Calc_AuV!C14),ISNUMBER(Manual_AuV!C14)),Calc_AuV!C14/Manual_AuV!C14,IF(AND(ISNUMBER(Calc_AuV!C14),NOT(ISNUMBER(Manual_AuV!C14))),"só calc",IF(AND(ISNUMBER(Manual_AuV!C14),NOT(ISNUMBER(Calc_AuV!C14))),"só manual","sem valor")))</f>
        <v>1</v>
      </c>
      <c r="D14" s="12">
        <f>IF(AND(ISNUMBER(Calc_AuV!D14),ISNUMBER(Manual_AuV!D14)),Calc_AuV!D14/Manual_AuV!D14,IF(AND(ISNUMBER(Calc_AuV!D14),NOT(ISNUMBER(Manual_AuV!D14))),"só calc",IF(AND(ISNUMBER(Manual_AuV!D14),NOT(ISNUMBER(Calc_AuV!D14))),"só manual","sem valor")))</f>
        <v>0.99916787515699335</v>
      </c>
      <c r="E14" s="12">
        <f>IF(AND(ISNUMBER(Calc_AuV!E14),ISNUMBER(Manual_AuV!E14)),Calc_AuV!E14/Manual_AuV!E14,IF(AND(ISNUMBER(Calc_AuV!E14),NOT(ISNUMBER(Manual_AuV!E14))),"só calc",IF(AND(ISNUMBER(Manual_AuV!E14),NOT(ISNUMBER(Calc_AuV!E14))),"só manual","sem valor")))</f>
        <v>1</v>
      </c>
      <c r="F14" s="12">
        <f>IF(AND(ISNUMBER(Calc_AuV!F14),ISNUMBER(Manual_AuV!F14)),Calc_AuV!F14/Manual_AuV!F14,IF(AND(ISNUMBER(Calc_AuV!F14),NOT(ISNUMBER(Manual_AuV!F14))),"só calc",IF(AND(ISNUMBER(Manual_AuV!F14),NOT(ISNUMBER(Calc_AuV!F14))),"só manual","sem valor")))</f>
        <v>1.003066471183669</v>
      </c>
      <c r="G14" s="12">
        <f>IF(AND(ISNUMBER(Calc_AuV!G14),ISNUMBER(Manual_AuV!G14)),Calc_AuV!G14/Manual_AuV!G14,IF(AND(ISNUMBER(Calc_AuV!G14),NOT(ISNUMBER(Manual_AuV!G14))),"só calc",IF(AND(ISNUMBER(Manual_AuV!G14),NOT(ISNUMBER(Calc_AuV!G14))),"só manual","sem valor")))</f>
        <v>1</v>
      </c>
      <c r="H14" s="12">
        <f>IF(AND(ISNUMBER(Calc_AuV!H14),ISNUMBER(Manual_AuV!H14)),Calc_AuV!H14/Manual_AuV!H14,IF(AND(ISNUMBER(Calc_AuV!H14),NOT(ISNUMBER(Manual_AuV!H14))),"só calc",IF(AND(ISNUMBER(Manual_AuV!H14),NOT(ISNUMBER(Calc_AuV!H14))),"só manual","sem valor")))</f>
        <v>0.99994556023254244</v>
      </c>
      <c r="I14" s="12">
        <f>IF(AND(ISNUMBER(Calc_AuV!I14),ISNUMBER(Manual_AuV!I14)),Calc_AuV!I14/Manual_AuV!I14,IF(AND(ISNUMBER(Calc_AuV!I14),NOT(ISNUMBER(Manual_AuV!I14))),"só calc",IF(AND(ISNUMBER(Manual_AuV!I14),NOT(ISNUMBER(Calc_AuV!I14))),"só manual","sem valor")))</f>
        <v>1</v>
      </c>
      <c r="J14" s="12">
        <f>IF(AND(ISNUMBER(Calc_AuV!J14),ISNUMBER(Manual_AuV!J14)),Calc_AuV!J14/Manual_AuV!J14,IF(AND(ISNUMBER(Calc_AuV!J14),NOT(ISNUMBER(Manual_AuV!J14))),"só calc",IF(AND(ISNUMBER(Manual_AuV!J14),NOT(ISNUMBER(Calc_AuV!J14))),"só manual","sem valor")))</f>
        <v>0.99952488335651934</v>
      </c>
      <c r="K14" s="12">
        <f>IF(AND(ISNUMBER(Calc_AuV!K14),ISNUMBER(Manual_AuV!K14)),Calc_AuV!K14/Manual_AuV!K14,IF(AND(ISNUMBER(Calc_AuV!K14),NOT(ISNUMBER(Manual_AuV!K14))),"só calc",IF(AND(ISNUMBER(Manual_AuV!K14),NOT(ISNUMBER(Calc_AuV!K14))),"só manual","sem valor")))</f>
        <v>1</v>
      </c>
      <c r="L14" s="12">
        <f>IF(AND(ISNUMBER(Calc_AuV!L14),ISNUMBER(Manual_AuV!L14)),Calc_AuV!L14/Manual_AuV!L14,IF(AND(ISNUMBER(Calc_AuV!L14),NOT(ISNUMBER(Manual_AuV!L14))),"só calc",IF(AND(ISNUMBER(Manual_AuV!L14),NOT(ISNUMBER(Calc_AuV!L14))),"só manual","sem valor")))</f>
        <v>0.99996460929566922</v>
      </c>
      <c r="M14" s="12">
        <f>IF(AND(ISNUMBER(Calc_AuV!M14),ISNUMBER(Manual_AuV!M14)),Calc_AuV!M14/Manual_AuV!M14,IF(AND(ISNUMBER(Calc_AuV!M14),NOT(ISNUMBER(Manual_AuV!M14))),"só calc",IF(AND(ISNUMBER(Manual_AuV!M14),NOT(ISNUMBER(Calc_AuV!M14))),"só manual","sem valor")))</f>
        <v>1</v>
      </c>
      <c r="N14" s="12">
        <f>IF(AND(ISNUMBER(Calc_AuV!N14),ISNUMBER(Manual_AuV!N14)),Calc_AuV!N14/Manual_AuV!N14,IF(AND(ISNUMBER(Calc_AuV!N14),NOT(ISNUMBER(Manual_AuV!N14))),"só calc",IF(AND(ISNUMBER(Manual_AuV!N14),NOT(ISNUMBER(Calc_AuV!N14))),"só manual","sem valor")))</f>
        <v>1.0008676858862819</v>
      </c>
      <c r="O14" s="12">
        <f>IF(AND(ISNUMBER(Calc_AuV!O14),ISNUMBER(Manual_AuV!O14)),Calc_AuV!O14/Manual_AuV!O14,IF(AND(ISNUMBER(Calc_AuV!O14),NOT(ISNUMBER(Manual_AuV!O14))),"só calc",IF(AND(ISNUMBER(Manual_AuV!O14),NOT(ISNUMBER(Calc_AuV!O14))),"só manual","sem valor")))</f>
        <v>1</v>
      </c>
      <c r="P14" s="12">
        <f>IF(AND(ISNUMBER(Calc_AuV!P14),ISNUMBER(Manual_AuV!P14)),Calc_AuV!P14/Manual_AuV!P14,IF(AND(ISNUMBER(Calc_AuV!P14),NOT(ISNUMBER(Manual_AuV!P14))),"só calc",IF(AND(ISNUMBER(Manual_AuV!P14),NOT(ISNUMBER(Calc_AuV!P14))),"só manual","sem valor")))</f>
        <v>1.0000062836633081</v>
      </c>
      <c r="Q14" s="12">
        <f>IF(AND(ISNUMBER(Calc_AuV!Q14),ISNUMBER(Manual_AuV!Q14)),Calc_AuV!Q14/Manual_AuV!Q14,IF(AND(ISNUMBER(Calc_AuV!Q14),NOT(ISNUMBER(Manual_AuV!Q14))),"só calc",IF(AND(ISNUMBER(Manual_AuV!Q14),NOT(ISNUMBER(Calc_AuV!Q14))),"só manual","sem valor")))</f>
        <v>1</v>
      </c>
      <c r="R14" s="12">
        <f>IF(AND(ISNUMBER(Calc_AuV!R14),ISNUMBER(Manual_AuV!R14)),Calc_AuV!R14/Manual_AuV!R14,IF(AND(ISNUMBER(Calc_AuV!R14),NOT(ISNUMBER(Manual_AuV!R14))),"só calc",IF(AND(ISNUMBER(Manual_AuV!R14),NOT(ISNUMBER(Calc_AuV!R14))),"só manual","sem valor")))</f>
        <v>0.99980354112572811</v>
      </c>
      <c r="S14" s="12">
        <f>IF(AND(ISNUMBER(Calc_AuV!S14),ISNUMBER(Manual_AuV!S14)),Calc_AuV!S14/Manual_AuV!S14,IF(AND(ISNUMBER(Calc_AuV!S14),NOT(ISNUMBER(Manual_AuV!S14))),"só calc",IF(AND(ISNUMBER(Manual_AuV!S14),NOT(ISNUMBER(Calc_AuV!S14))),"só manual","sem valor")))</f>
        <v>1</v>
      </c>
      <c r="T14" s="12">
        <f>IF(AND(ISNUMBER(Calc_AuV!T14),ISNUMBER(Manual_AuV!T14)),Calc_AuV!T14/Manual_AuV!T14,IF(AND(ISNUMBER(Calc_AuV!T14),NOT(ISNUMBER(Manual_AuV!T14))),"só calc",IF(AND(ISNUMBER(Manual_AuV!T14),NOT(ISNUMBER(Calc_AuV!T14))),"só manual","sem valor")))</f>
        <v>0.99888664740620559</v>
      </c>
      <c r="U14" s="12">
        <f>IF(AND(ISNUMBER(Calc_AuV!U14),ISNUMBER(Manual_AuV!U14)),Calc_AuV!U14/Manual_AuV!U14,IF(AND(ISNUMBER(Calc_AuV!U14),NOT(ISNUMBER(Manual_AuV!U14))),"só calc",IF(AND(ISNUMBER(Manual_AuV!U14),NOT(ISNUMBER(Calc_AuV!U14))),"só manual","sem valor")))</f>
        <v>1</v>
      </c>
      <c r="V14" s="12">
        <f>IF(AND(ISNUMBER(Calc_AuV!V14),ISNUMBER(Manual_AuV!V14)),Calc_AuV!V14/Manual_AuV!V14,IF(AND(ISNUMBER(Calc_AuV!V14),NOT(ISNUMBER(Manual_AuV!V14))),"só calc",IF(AND(ISNUMBER(Manual_AuV!V14),NOT(ISNUMBER(Calc_AuV!V14))),"só manual","sem valor")))</f>
        <v>1.0008476297553524</v>
      </c>
      <c r="W14" s="12">
        <f>IF(AND(ISNUMBER(Calc_AuV!W14),ISNUMBER(Manual_AuV!W14)),Calc_AuV!W14/Manual_AuV!W14,IF(AND(ISNUMBER(Calc_AuV!W14),NOT(ISNUMBER(Manual_AuV!W14))),"só calc",IF(AND(ISNUMBER(Manual_AuV!W14),NOT(ISNUMBER(Calc_AuV!W14))),"só manual","sem valor")))</f>
        <v>1</v>
      </c>
      <c r="X14" s="12">
        <f>IF(AND(ISNUMBER(Calc_AuV!X14),ISNUMBER(Manual_AuV!X14)),Calc_AuV!X14/Manual_AuV!X14,IF(AND(ISNUMBER(Calc_AuV!X14),NOT(ISNUMBER(Manual_AuV!X14))),"só calc",IF(AND(ISNUMBER(Manual_AuV!X14),NOT(ISNUMBER(Calc_AuV!X14))),"só manual","sem valor")))</f>
        <v>0.99940540323735294</v>
      </c>
    </row>
    <row r="15" spans="1:24" x14ac:dyDescent="0.25">
      <c r="A15" s="11" t="s">
        <v>58</v>
      </c>
      <c r="B15" s="11" t="str">
        <f>Calc_AuV!B15</f>
        <v>R10</v>
      </c>
      <c r="C15" s="12">
        <f>IF(AND(ISNUMBER(Calc_AuV!C15),ISNUMBER(Manual_AuV!C15)),Calc_AuV!C15/Manual_AuV!C15,IF(AND(ISNUMBER(Calc_AuV!C15),NOT(ISNUMBER(Manual_AuV!C15))),"só calc",IF(AND(ISNUMBER(Manual_AuV!C15),NOT(ISNUMBER(Calc_AuV!C15))),"só manual","sem valor")))</f>
        <v>1</v>
      </c>
      <c r="D15" s="12">
        <f>IF(AND(ISNUMBER(Calc_AuV!D15),ISNUMBER(Manual_AuV!D15)),Calc_AuV!D15/Manual_AuV!D15,IF(AND(ISNUMBER(Calc_AuV!D15),NOT(ISNUMBER(Manual_AuV!D15))),"só calc",IF(AND(ISNUMBER(Manual_AuV!D15),NOT(ISNUMBER(Calc_AuV!D15))),"só manual","sem valor")))</f>
        <v>0.99254017083758583</v>
      </c>
      <c r="E15" s="12">
        <f>IF(AND(ISNUMBER(Calc_AuV!E15),ISNUMBER(Manual_AuV!E15)),Calc_AuV!E15/Manual_AuV!E15,IF(AND(ISNUMBER(Calc_AuV!E15),NOT(ISNUMBER(Manual_AuV!E15))),"só calc",IF(AND(ISNUMBER(Manual_AuV!E15),NOT(ISNUMBER(Calc_AuV!E15))),"só manual","sem valor")))</f>
        <v>1</v>
      </c>
      <c r="F15" s="12">
        <f>IF(AND(ISNUMBER(Calc_AuV!F15),ISNUMBER(Manual_AuV!F15)),Calc_AuV!F15/Manual_AuV!F15,IF(AND(ISNUMBER(Calc_AuV!F15),NOT(ISNUMBER(Manual_AuV!F15))),"só calc",IF(AND(ISNUMBER(Manual_AuV!F15),NOT(ISNUMBER(Calc_AuV!F15))),"só manual","sem valor")))</f>
        <v>1.004987160573271</v>
      </c>
      <c r="G15" s="12">
        <f>IF(AND(ISNUMBER(Calc_AuV!G15),ISNUMBER(Manual_AuV!G15)),Calc_AuV!G15/Manual_AuV!G15,IF(AND(ISNUMBER(Calc_AuV!G15),NOT(ISNUMBER(Manual_AuV!G15))),"só calc",IF(AND(ISNUMBER(Manual_AuV!G15),NOT(ISNUMBER(Calc_AuV!G15))),"só manual","sem valor")))</f>
        <v>1</v>
      </c>
      <c r="H15" s="12">
        <f>IF(AND(ISNUMBER(Calc_AuV!H15),ISNUMBER(Manual_AuV!H15)),Calc_AuV!H15/Manual_AuV!H15,IF(AND(ISNUMBER(Calc_AuV!H15),NOT(ISNUMBER(Manual_AuV!H15))),"só calc",IF(AND(ISNUMBER(Manual_AuV!H15),NOT(ISNUMBER(Calc_AuV!H15))),"só manual","sem valor")))</f>
        <v>0.99994714661973327</v>
      </c>
      <c r="I15" s="12">
        <f>IF(AND(ISNUMBER(Calc_AuV!I15),ISNUMBER(Manual_AuV!I15)),Calc_AuV!I15/Manual_AuV!I15,IF(AND(ISNUMBER(Calc_AuV!I15),NOT(ISNUMBER(Manual_AuV!I15))),"só calc",IF(AND(ISNUMBER(Manual_AuV!I15),NOT(ISNUMBER(Calc_AuV!I15))),"só manual","sem valor")))</f>
        <v>1</v>
      </c>
      <c r="J15" s="12">
        <f>IF(AND(ISNUMBER(Calc_AuV!J15),ISNUMBER(Manual_AuV!J15)),Calc_AuV!J15/Manual_AuV!J15,IF(AND(ISNUMBER(Calc_AuV!J15),NOT(ISNUMBER(Manual_AuV!J15))),"só calc",IF(AND(ISNUMBER(Manual_AuV!J15),NOT(ISNUMBER(Calc_AuV!J15))),"só manual","sem valor")))</f>
        <v>0.99909084726304398</v>
      </c>
      <c r="K15" s="12">
        <f>IF(AND(ISNUMBER(Calc_AuV!K15),ISNUMBER(Manual_AuV!K15)),Calc_AuV!K15/Manual_AuV!K15,IF(AND(ISNUMBER(Calc_AuV!K15),NOT(ISNUMBER(Manual_AuV!K15))),"só calc",IF(AND(ISNUMBER(Manual_AuV!K15),NOT(ISNUMBER(Calc_AuV!K15))),"só manual","sem valor")))</f>
        <v>1</v>
      </c>
      <c r="L15" s="12">
        <f>IF(AND(ISNUMBER(Calc_AuV!L15),ISNUMBER(Manual_AuV!L15)),Calc_AuV!L15/Manual_AuV!L15,IF(AND(ISNUMBER(Calc_AuV!L15),NOT(ISNUMBER(Manual_AuV!L15))),"só calc",IF(AND(ISNUMBER(Manual_AuV!L15),NOT(ISNUMBER(Calc_AuV!L15))),"só manual","sem valor")))</f>
        <v>0.99997183269946199</v>
      </c>
      <c r="M15" s="12">
        <f>IF(AND(ISNUMBER(Calc_AuV!M15),ISNUMBER(Manual_AuV!M15)),Calc_AuV!M15/Manual_AuV!M15,IF(AND(ISNUMBER(Calc_AuV!M15),NOT(ISNUMBER(Manual_AuV!M15))),"só calc",IF(AND(ISNUMBER(Manual_AuV!M15),NOT(ISNUMBER(Calc_AuV!M15))),"só manual","sem valor")))</f>
        <v>1</v>
      </c>
      <c r="N15" s="12">
        <f>IF(AND(ISNUMBER(Calc_AuV!N15),ISNUMBER(Manual_AuV!N15)),Calc_AuV!N15/Manual_AuV!N15,IF(AND(ISNUMBER(Calc_AuV!N15),NOT(ISNUMBER(Manual_AuV!N15))),"só calc",IF(AND(ISNUMBER(Manual_AuV!N15),NOT(ISNUMBER(Calc_AuV!N15))),"só manual","sem valor")))</f>
        <v>0.99945312745745218</v>
      </c>
      <c r="O15" s="12">
        <f>IF(AND(ISNUMBER(Calc_AuV!O15),ISNUMBER(Manual_AuV!O15)),Calc_AuV!O15/Manual_AuV!O15,IF(AND(ISNUMBER(Calc_AuV!O15),NOT(ISNUMBER(Manual_AuV!O15))),"só calc",IF(AND(ISNUMBER(Manual_AuV!O15),NOT(ISNUMBER(Calc_AuV!O15))),"só manual","sem valor")))</f>
        <v>1</v>
      </c>
      <c r="P15" s="12">
        <f>IF(AND(ISNUMBER(Calc_AuV!P15),ISNUMBER(Manual_AuV!P15)),Calc_AuV!P15/Manual_AuV!P15,IF(AND(ISNUMBER(Calc_AuV!P15),NOT(ISNUMBER(Manual_AuV!P15))),"só calc",IF(AND(ISNUMBER(Manual_AuV!P15),NOT(ISNUMBER(Calc_AuV!P15))),"só manual","sem valor")))</f>
        <v>1.0000023638628017</v>
      </c>
      <c r="Q15" s="12">
        <f>IF(AND(ISNUMBER(Calc_AuV!Q15),ISNUMBER(Manual_AuV!Q15)),Calc_AuV!Q15/Manual_AuV!Q15,IF(AND(ISNUMBER(Calc_AuV!Q15),NOT(ISNUMBER(Manual_AuV!Q15))),"só calc",IF(AND(ISNUMBER(Manual_AuV!Q15),NOT(ISNUMBER(Calc_AuV!Q15))),"só manual","sem valor")))</f>
        <v>1</v>
      </c>
      <c r="R15" s="12">
        <f>IF(AND(ISNUMBER(Calc_AuV!R15),ISNUMBER(Manual_AuV!R15)),Calc_AuV!R15/Manual_AuV!R15,IF(AND(ISNUMBER(Calc_AuV!R15),NOT(ISNUMBER(Manual_AuV!R15))),"só calc",IF(AND(ISNUMBER(Manual_AuV!R15),NOT(ISNUMBER(Calc_AuV!R15))),"só manual","sem valor")))</f>
        <v>1.0000180036667103</v>
      </c>
      <c r="S15" s="12">
        <f>IF(AND(ISNUMBER(Calc_AuV!S15),ISNUMBER(Manual_AuV!S15)),Calc_AuV!S15/Manual_AuV!S15,IF(AND(ISNUMBER(Calc_AuV!S15),NOT(ISNUMBER(Manual_AuV!S15))),"só calc",IF(AND(ISNUMBER(Manual_AuV!S15),NOT(ISNUMBER(Calc_AuV!S15))),"só manual","sem valor")))</f>
        <v>1</v>
      </c>
      <c r="T15" s="12">
        <f>IF(AND(ISNUMBER(Calc_AuV!T15),ISNUMBER(Manual_AuV!T15)),Calc_AuV!T15/Manual_AuV!T15,IF(AND(ISNUMBER(Calc_AuV!T15),NOT(ISNUMBER(Manual_AuV!T15))),"só calc",IF(AND(ISNUMBER(Manual_AuV!T15),NOT(ISNUMBER(Calc_AuV!T15))),"só manual","sem valor")))</f>
        <v>1.0000559666002957</v>
      </c>
      <c r="U15" s="12">
        <f>IF(AND(ISNUMBER(Calc_AuV!U15),ISNUMBER(Manual_AuV!U15)),Calc_AuV!U15/Manual_AuV!U15,IF(AND(ISNUMBER(Calc_AuV!U15),NOT(ISNUMBER(Manual_AuV!U15))),"só calc",IF(AND(ISNUMBER(Manual_AuV!U15),NOT(ISNUMBER(Calc_AuV!U15))),"só manual","sem valor")))</f>
        <v>1</v>
      </c>
      <c r="V15" s="12">
        <f>IF(AND(ISNUMBER(Calc_AuV!V15),ISNUMBER(Manual_AuV!V15)),Calc_AuV!V15/Manual_AuV!V15,IF(AND(ISNUMBER(Calc_AuV!V15),NOT(ISNUMBER(Manual_AuV!V15))),"só calc",IF(AND(ISNUMBER(Manual_AuV!V15),NOT(ISNUMBER(Calc_AuV!V15))),"só manual","sem valor")))</f>
        <v>1.0001399931710091</v>
      </c>
      <c r="W15" s="12">
        <f>IF(AND(ISNUMBER(Calc_AuV!W15),ISNUMBER(Manual_AuV!W15)),Calc_AuV!W15/Manual_AuV!W15,IF(AND(ISNUMBER(Calc_AuV!W15),NOT(ISNUMBER(Manual_AuV!W15))),"só calc",IF(AND(ISNUMBER(Manual_AuV!W15),NOT(ISNUMBER(Calc_AuV!W15))),"só manual","sem valor")))</f>
        <v>1</v>
      </c>
      <c r="X15" s="12">
        <f>IF(AND(ISNUMBER(Calc_AuV!X15),ISNUMBER(Manual_AuV!X15)),Calc_AuV!X15/Manual_AuV!X15,IF(AND(ISNUMBER(Calc_AuV!X15),NOT(ISNUMBER(Manual_AuV!X15))),"só calc",IF(AND(ISNUMBER(Manual_AuV!X15),NOT(ISNUMBER(Calc_AuV!X15))),"só manual","sem valor")))</f>
        <v>1.0001429239888444</v>
      </c>
    </row>
    <row r="16" spans="1:24" x14ac:dyDescent="0.25">
      <c r="A16" s="11" t="s">
        <v>59</v>
      </c>
      <c r="B16" s="11" t="str">
        <f>Calc_AuV!B16</f>
        <v>R11</v>
      </c>
      <c r="C16" s="12">
        <f>IF(AND(ISNUMBER(Calc_AuV!C16),ISNUMBER(Manual_AuV!C16)),Calc_AuV!C16/Manual_AuV!C16,IF(AND(ISNUMBER(Calc_AuV!C16),NOT(ISNUMBER(Manual_AuV!C16))),"só calc",IF(AND(ISNUMBER(Manual_AuV!C16),NOT(ISNUMBER(Calc_AuV!C16))),"só manual","sem valor")))</f>
        <v>1</v>
      </c>
      <c r="D16" s="12">
        <f>IF(AND(ISNUMBER(Calc_AuV!D16),ISNUMBER(Manual_AuV!D16)),Calc_AuV!D16/Manual_AuV!D16,IF(AND(ISNUMBER(Calc_AuV!D16),NOT(ISNUMBER(Manual_AuV!D16))),"só calc",IF(AND(ISNUMBER(Manual_AuV!D16),NOT(ISNUMBER(Calc_AuV!D16))),"só manual","sem valor")))</f>
        <v>1.0086192154335831</v>
      </c>
      <c r="E16" s="12">
        <f>IF(AND(ISNUMBER(Calc_AuV!E16),ISNUMBER(Manual_AuV!E16)),Calc_AuV!E16/Manual_AuV!E16,IF(AND(ISNUMBER(Calc_AuV!E16),NOT(ISNUMBER(Manual_AuV!E16))),"só calc",IF(AND(ISNUMBER(Manual_AuV!E16),NOT(ISNUMBER(Calc_AuV!E16))),"só manual","sem valor")))</f>
        <v>1</v>
      </c>
      <c r="F16" s="12">
        <f>IF(AND(ISNUMBER(Calc_AuV!F16),ISNUMBER(Manual_AuV!F16)),Calc_AuV!F16/Manual_AuV!F16,IF(AND(ISNUMBER(Calc_AuV!F16),NOT(ISNUMBER(Manual_AuV!F16))),"só calc",IF(AND(ISNUMBER(Manual_AuV!F16),NOT(ISNUMBER(Calc_AuV!F16))),"só manual","sem valor")))</f>
        <v>0.99399560201689696</v>
      </c>
      <c r="G16" s="12">
        <f>IF(AND(ISNUMBER(Calc_AuV!G16),ISNUMBER(Manual_AuV!G16)),Calc_AuV!G16/Manual_AuV!G16,IF(AND(ISNUMBER(Calc_AuV!G16),NOT(ISNUMBER(Manual_AuV!G16))),"só calc",IF(AND(ISNUMBER(Manual_AuV!G16),NOT(ISNUMBER(Calc_AuV!G16))),"só manual","sem valor")))</f>
        <v>1</v>
      </c>
      <c r="H16" s="12">
        <f>IF(AND(ISNUMBER(Calc_AuV!H16),ISNUMBER(Manual_AuV!H16)),Calc_AuV!H16/Manual_AuV!H16,IF(AND(ISNUMBER(Calc_AuV!H16),NOT(ISNUMBER(Manual_AuV!H16))),"só calc",IF(AND(ISNUMBER(Manual_AuV!H16),NOT(ISNUMBER(Calc_AuV!H16))),"só manual","sem valor")))</f>
        <v>0.9998377966928067</v>
      </c>
      <c r="I16" s="12">
        <f>IF(AND(ISNUMBER(Calc_AuV!I16),ISNUMBER(Manual_AuV!I16)),Calc_AuV!I16/Manual_AuV!I16,IF(AND(ISNUMBER(Calc_AuV!I16),NOT(ISNUMBER(Manual_AuV!I16))),"só calc",IF(AND(ISNUMBER(Manual_AuV!I16),NOT(ISNUMBER(Calc_AuV!I16))),"só manual","sem valor")))</f>
        <v>1</v>
      </c>
      <c r="J16" s="12">
        <f>IF(AND(ISNUMBER(Calc_AuV!J16),ISNUMBER(Manual_AuV!J16)),Calc_AuV!J16/Manual_AuV!J16,IF(AND(ISNUMBER(Calc_AuV!J16),NOT(ISNUMBER(Manual_AuV!J16))),"só calc",IF(AND(ISNUMBER(Manual_AuV!J16),NOT(ISNUMBER(Calc_AuV!J16))),"só manual","sem valor")))</f>
        <v>1.0002500410931334</v>
      </c>
      <c r="K16" s="12">
        <f>IF(AND(ISNUMBER(Calc_AuV!K16),ISNUMBER(Manual_AuV!K16)),Calc_AuV!K16/Manual_AuV!K16,IF(AND(ISNUMBER(Calc_AuV!K16),NOT(ISNUMBER(Manual_AuV!K16))),"só calc",IF(AND(ISNUMBER(Manual_AuV!K16),NOT(ISNUMBER(Calc_AuV!K16))),"só manual","sem valor")))</f>
        <v>1</v>
      </c>
      <c r="L16" s="12">
        <f>IF(AND(ISNUMBER(Calc_AuV!L16),ISNUMBER(Manual_AuV!L16)),Calc_AuV!L16/Manual_AuV!L16,IF(AND(ISNUMBER(Calc_AuV!L16),NOT(ISNUMBER(Manual_AuV!L16))),"só calc",IF(AND(ISNUMBER(Manual_AuV!L16),NOT(ISNUMBER(Calc_AuV!L16))),"só manual","sem valor")))</f>
        <v>1.0000094833388327</v>
      </c>
      <c r="M16" s="12">
        <f>IF(AND(ISNUMBER(Calc_AuV!M16),ISNUMBER(Manual_AuV!M16)),Calc_AuV!M16/Manual_AuV!M16,IF(AND(ISNUMBER(Calc_AuV!M16),NOT(ISNUMBER(Manual_AuV!M16))),"só calc",IF(AND(ISNUMBER(Manual_AuV!M16),NOT(ISNUMBER(Calc_AuV!M16))),"só manual","sem valor")))</f>
        <v>1</v>
      </c>
      <c r="N16" s="12">
        <f>IF(AND(ISNUMBER(Calc_AuV!N16),ISNUMBER(Manual_AuV!N16)),Calc_AuV!N16/Manual_AuV!N16,IF(AND(ISNUMBER(Calc_AuV!N16),NOT(ISNUMBER(Manual_AuV!N16))),"só calc",IF(AND(ISNUMBER(Manual_AuV!N16),NOT(ISNUMBER(Calc_AuV!N16))),"só manual","sem valor")))</f>
        <v>0.99932445256487001</v>
      </c>
      <c r="O16" s="12">
        <f>IF(AND(ISNUMBER(Calc_AuV!O16),ISNUMBER(Manual_AuV!O16)),Calc_AuV!O16/Manual_AuV!O16,IF(AND(ISNUMBER(Calc_AuV!O16),NOT(ISNUMBER(Manual_AuV!O16))),"só calc",IF(AND(ISNUMBER(Manual_AuV!O16),NOT(ISNUMBER(Calc_AuV!O16))),"só manual","sem valor")))</f>
        <v>1</v>
      </c>
      <c r="P16" s="12">
        <f>IF(AND(ISNUMBER(Calc_AuV!P16),ISNUMBER(Manual_AuV!P16)),Calc_AuV!P16/Manual_AuV!P16,IF(AND(ISNUMBER(Calc_AuV!P16),NOT(ISNUMBER(Manual_AuV!P16))),"só calc",IF(AND(ISNUMBER(Manual_AuV!P16),NOT(ISNUMBER(Calc_AuV!P16))),"só manual","sem valor")))</f>
        <v>1.0000025341223371</v>
      </c>
      <c r="Q16" s="12">
        <f>IF(AND(ISNUMBER(Calc_AuV!Q16),ISNUMBER(Manual_AuV!Q16)),Calc_AuV!Q16/Manual_AuV!Q16,IF(AND(ISNUMBER(Calc_AuV!Q16),NOT(ISNUMBER(Manual_AuV!Q16))),"só calc",IF(AND(ISNUMBER(Manual_AuV!Q16),NOT(ISNUMBER(Calc_AuV!Q16))),"só manual","sem valor")))</f>
        <v>1</v>
      </c>
      <c r="R16" s="12">
        <f>IF(AND(ISNUMBER(Calc_AuV!R16),ISNUMBER(Manual_AuV!R16)),Calc_AuV!R16/Manual_AuV!R16,IF(AND(ISNUMBER(Calc_AuV!R16),NOT(ISNUMBER(Manual_AuV!R16))),"só calc",IF(AND(ISNUMBER(Manual_AuV!R16),NOT(ISNUMBER(Calc_AuV!R16))),"só manual","sem valor")))</f>
        <v>1.0001570368912625</v>
      </c>
      <c r="S16" s="12">
        <f>IF(AND(ISNUMBER(Calc_AuV!S16),ISNUMBER(Manual_AuV!S16)),Calc_AuV!S16/Manual_AuV!S16,IF(AND(ISNUMBER(Calc_AuV!S16),NOT(ISNUMBER(Manual_AuV!S16))),"só calc",IF(AND(ISNUMBER(Manual_AuV!S16),NOT(ISNUMBER(Calc_AuV!S16))),"só manual","sem valor")))</f>
        <v>1</v>
      </c>
      <c r="T16" s="12">
        <f>IF(AND(ISNUMBER(Calc_AuV!T16),ISNUMBER(Manual_AuV!T16)),Calc_AuV!T16/Manual_AuV!T16,IF(AND(ISNUMBER(Calc_AuV!T16),NOT(ISNUMBER(Manual_AuV!T16))),"só calc",IF(AND(ISNUMBER(Manual_AuV!T16),NOT(ISNUMBER(Calc_AuV!T16))),"só manual","sem valor")))</f>
        <v>0.99962174455274699</v>
      </c>
      <c r="U16" s="12">
        <f>IF(AND(ISNUMBER(Calc_AuV!U16),ISNUMBER(Manual_AuV!U16)),Calc_AuV!U16/Manual_AuV!U16,IF(AND(ISNUMBER(Calc_AuV!U16),NOT(ISNUMBER(Manual_AuV!U16))),"só calc",IF(AND(ISNUMBER(Manual_AuV!U16),NOT(ISNUMBER(Calc_AuV!U16))),"só manual","sem valor")))</f>
        <v>1</v>
      </c>
      <c r="V16" s="12">
        <f>IF(AND(ISNUMBER(Calc_AuV!V16),ISNUMBER(Manual_AuV!V16)),Calc_AuV!V16/Manual_AuV!V16,IF(AND(ISNUMBER(Calc_AuV!V16),NOT(ISNUMBER(Manual_AuV!V16))),"só calc",IF(AND(ISNUMBER(Manual_AuV!V16),NOT(ISNUMBER(Calc_AuV!V16))),"só manual","sem valor")))</f>
        <v>1.0003657661097156</v>
      </c>
      <c r="W16" s="12">
        <f>IF(AND(ISNUMBER(Calc_AuV!W16),ISNUMBER(Manual_AuV!W16)),Calc_AuV!W16/Manual_AuV!W16,IF(AND(ISNUMBER(Calc_AuV!W16),NOT(ISNUMBER(Manual_AuV!W16))),"só calc",IF(AND(ISNUMBER(Manual_AuV!W16),NOT(ISNUMBER(Calc_AuV!W16))),"só manual","sem valor")))</f>
        <v>1</v>
      </c>
      <c r="X16" s="12">
        <f>IF(AND(ISNUMBER(Calc_AuV!X16),ISNUMBER(Manual_AuV!X16)),Calc_AuV!X16/Manual_AuV!X16,IF(AND(ISNUMBER(Calc_AuV!X16),NOT(ISNUMBER(Manual_AuV!X16))),"só calc",IF(AND(ISNUMBER(Manual_AuV!X16),NOT(ISNUMBER(Calc_AuV!X16))),"só manual","sem valor")))</f>
        <v>1.0002133902438395</v>
      </c>
    </row>
    <row r="18" spans="1:24" x14ac:dyDescent="0.25">
      <c r="A18" s="9" t="s">
        <v>60</v>
      </c>
      <c r="B18" s="13"/>
      <c r="C18" s="10">
        <f t="shared" ref="C18:X18" si="0">IF(COUNT(C7:C16)&gt;=2,AVERAGE(C7:C16),"—")</f>
        <v>1</v>
      </c>
      <c r="D18" s="10">
        <f t="shared" si="0"/>
        <v>0.9994060195961495</v>
      </c>
      <c r="E18" s="10">
        <f t="shared" si="0"/>
        <v>1</v>
      </c>
      <c r="F18" s="10">
        <f t="shared" si="0"/>
        <v>0.99945584321610803</v>
      </c>
      <c r="G18" s="10">
        <f t="shared" si="0"/>
        <v>1</v>
      </c>
      <c r="H18" s="10">
        <f t="shared" si="0"/>
        <v>0.99998815283352727</v>
      </c>
      <c r="I18" s="10">
        <f t="shared" si="0"/>
        <v>1</v>
      </c>
      <c r="J18" s="10">
        <f t="shared" si="0"/>
        <v>1.0000549899936662</v>
      </c>
      <c r="K18" s="10">
        <f t="shared" si="0"/>
        <v>1</v>
      </c>
      <c r="L18" s="10">
        <f t="shared" si="0"/>
        <v>1.0000237433884449</v>
      </c>
      <c r="M18" s="10">
        <f t="shared" si="0"/>
        <v>1</v>
      </c>
      <c r="N18" s="10">
        <f t="shared" si="0"/>
        <v>0.9999022622550694</v>
      </c>
      <c r="O18" s="10">
        <f t="shared" si="0"/>
        <v>1</v>
      </c>
      <c r="P18" s="10">
        <f t="shared" si="0"/>
        <v>1.0000004295174802</v>
      </c>
      <c r="Q18" s="10">
        <f t="shared" si="0"/>
        <v>1</v>
      </c>
      <c r="R18" s="10">
        <f t="shared" si="0"/>
        <v>1.0001174228409409</v>
      </c>
      <c r="S18" s="10">
        <f t="shared" si="0"/>
        <v>1</v>
      </c>
      <c r="T18" s="10">
        <f t="shared" si="0"/>
        <v>0.99992250262820781</v>
      </c>
      <c r="U18" s="10">
        <f t="shared" si="0"/>
        <v>1</v>
      </c>
      <c r="V18" s="10">
        <f t="shared" si="0"/>
        <v>1.0001545214751153</v>
      </c>
      <c r="W18" s="10">
        <f t="shared" si="0"/>
        <v>1</v>
      </c>
      <c r="X18" s="10">
        <f t="shared" si="0"/>
        <v>0.99998927043558195</v>
      </c>
    </row>
    <row r="19" spans="1:24" x14ac:dyDescent="0.25">
      <c r="A19" s="9" t="s">
        <v>61</v>
      </c>
      <c r="B19" s="13"/>
      <c r="C19" s="10">
        <f t="shared" ref="C19:X19" si="1">IF(COUNT(C7:C16)&gt;=2,STDEV(C7:C16),"—")</f>
        <v>0</v>
      </c>
      <c r="D19" s="10">
        <f t="shared" si="1"/>
        <v>6.2024878707393864E-3</v>
      </c>
      <c r="E19" s="10">
        <f t="shared" si="1"/>
        <v>0</v>
      </c>
      <c r="F19" s="10">
        <f t="shared" si="1"/>
        <v>3.4996686373031591E-3</v>
      </c>
      <c r="G19" s="10">
        <f t="shared" si="1"/>
        <v>0</v>
      </c>
      <c r="H19" s="10">
        <f t="shared" si="1"/>
        <v>1.4828414173572599E-4</v>
      </c>
      <c r="I19" s="10">
        <f t="shared" si="1"/>
        <v>0</v>
      </c>
      <c r="J19" s="10">
        <f t="shared" si="1"/>
        <v>6.6794859518729335E-4</v>
      </c>
      <c r="K19" s="10">
        <f t="shared" si="1"/>
        <v>0</v>
      </c>
      <c r="L19" s="10">
        <f t="shared" si="1"/>
        <v>1.0813175685748185E-4</v>
      </c>
      <c r="M19" s="10">
        <f t="shared" si="1"/>
        <v>0</v>
      </c>
      <c r="N19" s="10">
        <f t="shared" si="1"/>
        <v>8.1565998040012343E-4</v>
      </c>
      <c r="O19" s="10">
        <f t="shared" si="1"/>
        <v>0</v>
      </c>
      <c r="P19" s="10">
        <f t="shared" si="1"/>
        <v>6.9646603116257389E-6</v>
      </c>
      <c r="Q19" s="10">
        <f t="shared" si="1"/>
        <v>0</v>
      </c>
      <c r="R19" s="10">
        <f t="shared" si="1"/>
        <v>2.6335208744760169E-4</v>
      </c>
      <c r="S19" s="10">
        <f t="shared" si="1"/>
        <v>0</v>
      </c>
      <c r="T19" s="10">
        <f t="shared" si="1"/>
        <v>5.9784633167118278E-4</v>
      </c>
      <c r="U19" s="10">
        <f t="shared" si="1"/>
        <v>0</v>
      </c>
      <c r="V19" s="10">
        <f t="shared" si="1"/>
        <v>4.2962325549459034E-4</v>
      </c>
      <c r="W19" s="10">
        <f t="shared" si="1"/>
        <v>0</v>
      </c>
      <c r="X19" s="10">
        <f t="shared" si="1"/>
        <v>3.5272741393897571E-4</v>
      </c>
    </row>
    <row r="20" spans="1:24" x14ac:dyDescent="0.25">
      <c r="A20" s="9" t="s">
        <v>62</v>
      </c>
      <c r="B20" s="13"/>
      <c r="C20" s="10">
        <f t="shared" ref="C20:X20" si="2">IF(COUNT(C7:C16)&gt;=2,MIN(C7:C16),"—")</f>
        <v>1</v>
      </c>
      <c r="D20" s="10">
        <f t="shared" si="2"/>
        <v>0.99176130346417912</v>
      </c>
      <c r="E20" s="10">
        <f t="shared" si="2"/>
        <v>1</v>
      </c>
      <c r="F20" s="10">
        <f t="shared" si="2"/>
        <v>0.99399560201689696</v>
      </c>
      <c r="G20" s="10">
        <f t="shared" si="2"/>
        <v>1</v>
      </c>
      <c r="H20" s="10">
        <f t="shared" si="2"/>
        <v>0.99982487921039631</v>
      </c>
      <c r="I20" s="10">
        <f t="shared" si="2"/>
        <v>1</v>
      </c>
      <c r="J20" s="10">
        <f t="shared" si="2"/>
        <v>0.99909084726304398</v>
      </c>
      <c r="K20" s="10">
        <f t="shared" si="2"/>
        <v>1</v>
      </c>
      <c r="L20" s="10">
        <f t="shared" si="2"/>
        <v>0.99993105409120009</v>
      </c>
      <c r="M20" s="10">
        <f t="shared" si="2"/>
        <v>1</v>
      </c>
      <c r="N20" s="10">
        <f t="shared" si="2"/>
        <v>0.99859561430312738</v>
      </c>
      <c r="O20" s="10">
        <f t="shared" si="2"/>
        <v>1</v>
      </c>
      <c r="P20" s="10">
        <f t="shared" si="2"/>
        <v>0.99999205935140301</v>
      </c>
      <c r="Q20" s="10">
        <f t="shared" si="2"/>
        <v>1</v>
      </c>
      <c r="R20" s="10">
        <f t="shared" si="2"/>
        <v>0.99970406269130097</v>
      </c>
      <c r="S20" s="10">
        <f t="shared" si="2"/>
        <v>1</v>
      </c>
      <c r="T20" s="10">
        <f t="shared" si="2"/>
        <v>0.99888664740620559</v>
      </c>
      <c r="U20" s="10">
        <f t="shared" si="2"/>
        <v>1</v>
      </c>
      <c r="V20" s="10">
        <f t="shared" si="2"/>
        <v>0.99930594217818802</v>
      </c>
      <c r="W20" s="10">
        <f t="shared" si="2"/>
        <v>1</v>
      </c>
      <c r="X20" s="10">
        <f t="shared" si="2"/>
        <v>0.99940540323735294</v>
      </c>
    </row>
    <row r="21" spans="1:24" x14ac:dyDescent="0.25">
      <c r="A21" s="9" t="s">
        <v>63</v>
      </c>
      <c r="B21" s="13"/>
      <c r="C21" s="10">
        <f t="shared" ref="C21:X21" si="3">IF(COUNT(C7:C16)&gt;=2,MAX(C7:C16),"—")</f>
        <v>1</v>
      </c>
      <c r="D21" s="10">
        <f t="shared" si="3"/>
        <v>1.0086192154335831</v>
      </c>
      <c r="E21" s="10">
        <f t="shared" si="3"/>
        <v>1</v>
      </c>
      <c r="F21" s="10">
        <f t="shared" si="3"/>
        <v>1.004987160573271</v>
      </c>
      <c r="G21" s="10">
        <f t="shared" si="3"/>
        <v>1</v>
      </c>
      <c r="H21" s="10">
        <f t="shared" si="3"/>
        <v>1.0002678699546976</v>
      </c>
      <c r="I21" s="10">
        <f t="shared" si="3"/>
        <v>1</v>
      </c>
      <c r="J21" s="10">
        <f t="shared" si="3"/>
        <v>1.0009574695179009</v>
      </c>
      <c r="K21" s="10">
        <f t="shared" si="3"/>
        <v>1</v>
      </c>
      <c r="L21" s="10">
        <f t="shared" si="3"/>
        <v>1.0003049678879119</v>
      </c>
      <c r="M21" s="10">
        <f t="shared" si="3"/>
        <v>1</v>
      </c>
      <c r="N21" s="10">
        <f t="shared" si="3"/>
        <v>1.001155009938538</v>
      </c>
      <c r="O21" s="10">
        <f t="shared" si="3"/>
        <v>1</v>
      </c>
      <c r="P21" s="10">
        <f t="shared" si="3"/>
        <v>1.0000134306842106</v>
      </c>
      <c r="Q21" s="10">
        <f t="shared" si="3"/>
        <v>1</v>
      </c>
      <c r="R21" s="10">
        <f t="shared" si="3"/>
        <v>1.000690061299681</v>
      </c>
      <c r="S21" s="10">
        <f t="shared" si="3"/>
        <v>1</v>
      </c>
      <c r="T21" s="10">
        <f t="shared" si="3"/>
        <v>1.0005342544624114</v>
      </c>
      <c r="U21" s="10">
        <f t="shared" si="3"/>
        <v>1</v>
      </c>
      <c r="V21" s="10">
        <f t="shared" si="3"/>
        <v>1.0008476297553524</v>
      </c>
      <c r="W21" s="10">
        <f t="shared" si="3"/>
        <v>1</v>
      </c>
      <c r="X21" s="10">
        <f t="shared" si="3"/>
        <v>1.0005959350975258</v>
      </c>
    </row>
  </sheetData>
  <mergeCells count="11"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M3:N3"/>
  </mergeCells>
  <conditionalFormatting sqref="C5:X16">
    <cfRule type="expression" dxfId="3" priority="3">
      <formula>ISTEXT(C5)</formula>
    </cfRule>
  </conditionalFormatting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200-000001000000}">
            <xm:f>AND(ISNUMBER(C5),ABS(C5-1)&lt;='Leia-me'!$B$6)</xm:f>
            <x14:dxf>
              <fill>
                <patternFill patternType="solid">
                  <fgColor rgb="FFC6EFCE"/>
                </patternFill>
              </fill>
            </x14:dxf>
          </x14:cfRule>
          <x14:cfRule type="expression" priority="2" id="{00000000-000E-0000-0200-000002000000}">
            <xm:f>AND(ISNUMBER(C5),ABS(C5-1)&gt;'Leia-me'!$B$6)</xm:f>
            <x14:dxf>
              <fill>
                <patternFill patternType="solid">
                  <fgColor rgb="FFFFC7CE"/>
                </patternFill>
              </fill>
            </x14:dxf>
          </x14:cfRule>
          <xm:sqref>C5:X16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18" customWidth="1"/>
    <col min="3" max="24" width="10" customWidth="1"/>
  </cols>
  <sheetData>
    <row r="1" spans="1:24" ht="16.5" x14ac:dyDescent="0.25">
      <c r="A1" s="1" t="s">
        <v>66</v>
      </c>
    </row>
    <row r="2" spans="1:24" x14ac:dyDescent="0.25">
      <c r="A2" s="7" t="s">
        <v>31</v>
      </c>
    </row>
    <row r="3" spans="1:24" x14ac:dyDescent="0.25">
      <c r="A3" s="8"/>
      <c r="B3" s="8"/>
      <c r="C3" s="17" t="s">
        <v>32</v>
      </c>
      <c r="D3" s="17"/>
      <c r="E3" s="17" t="s">
        <v>33</v>
      </c>
      <c r="F3" s="17"/>
      <c r="G3" s="17" t="s">
        <v>34</v>
      </c>
      <c r="H3" s="17"/>
      <c r="I3" s="17" t="s">
        <v>35</v>
      </c>
      <c r="J3" s="17"/>
      <c r="K3" s="17" t="s">
        <v>36</v>
      </c>
      <c r="L3" s="17"/>
      <c r="M3" s="17" t="s">
        <v>37</v>
      </c>
      <c r="N3" s="17"/>
      <c r="O3" s="17" t="s">
        <v>38</v>
      </c>
      <c r="P3" s="17"/>
      <c r="Q3" s="17" t="s">
        <v>39</v>
      </c>
      <c r="R3" s="17"/>
      <c r="S3" s="17" t="s">
        <v>40</v>
      </c>
      <c r="T3" s="17"/>
      <c r="U3" s="17" t="s">
        <v>41</v>
      </c>
      <c r="V3" s="17"/>
      <c r="W3" s="17" t="s">
        <v>42</v>
      </c>
      <c r="X3" s="17"/>
    </row>
    <row r="4" spans="1:24" x14ac:dyDescent="0.25">
      <c r="A4" s="8" t="s">
        <v>44</v>
      </c>
      <c r="B4" s="8" t="s">
        <v>45</v>
      </c>
      <c r="C4" s="8" t="s">
        <v>46</v>
      </c>
      <c r="D4" s="8" t="s">
        <v>47</v>
      </c>
      <c r="E4" s="8" t="s">
        <v>46</v>
      </c>
      <c r="F4" s="8" t="s">
        <v>47</v>
      </c>
      <c r="G4" s="8" t="s">
        <v>46</v>
      </c>
      <c r="H4" s="8" t="s">
        <v>47</v>
      </c>
      <c r="I4" s="8" t="s">
        <v>46</v>
      </c>
      <c r="J4" s="8" t="s">
        <v>47</v>
      </c>
      <c r="K4" s="8" t="s">
        <v>46</v>
      </c>
      <c r="L4" s="8" t="s">
        <v>47</v>
      </c>
      <c r="M4" s="8" t="s">
        <v>46</v>
      </c>
      <c r="N4" s="8" t="s">
        <v>47</v>
      </c>
      <c r="O4" s="8" t="s">
        <v>46</v>
      </c>
      <c r="P4" s="8" t="s">
        <v>47</v>
      </c>
      <c r="Q4" s="8" t="s">
        <v>46</v>
      </c>
      <c r="R4" s="8" t="s">
        <v>47</v>
      </c>
      <c r="S4" s="8" t="s">
        <v>46</v>
      </c>
      <c r="T4" s="8" t="s">
        <v>47</v>
      </c>
      <c r="U4" s="8" t="s">
        <v>46</v>
      </c>
      <c r="V4" s="8" t="s">
        <v>47</v>
      </c>
      <c r="W4" s="8" t="s">
        <v>46</v>
      </c>
      <c r="X4" s="8" t="s">
        <v>47</v>
      </c>
    </row>
    <row r="5" spans="1:24" x14ac:dyDescent="0.25">
      <c r="A5" s="9" t="s">
        <v>48</v>
      </c>
      <c r="B5" s="9"/>
      <c r="C5" s="10">
        <f>IF(AND(ISNUMBER(Calc_RhV!C5),ISNUMBER(Manual_RhV!C5)),Calc_RhV!C5/Manual_RhV!C5,IF(AND(ISNUMBER(Calc_RhV!C5),NOT(ISNUMBER(Manual_RhV!C5))),"só calc",IF(AND(ISNUMBER(Manual_RhV!C5),NOT(ISNUMBER(Calc_RhV!C5))),"só manual","sem valor")))</f>
        <v>1</v>
      </c>
      <c r="D5" s="10"/>
      <c r="E5" s="10">
        <f>IF(AND(ISNUMBER(Calc_RhV!E5),ISNUMBER(Manual_RhV!E5)),Calc_RhV!E5/Manual_RhV!E5,IF(AND(ISNUMBER(Calc_RhV!E5),NOT(ISNUMBER(Manual_RhV!E5))),"só calc",IF(AND(ISNUMBER(Manual_RhV!E5),NOT(ISNUMBER(Calc_RhV!E5))),"só manual","sem valor")))</f>
        <v>1</v>
      </c>
      <c r="F5" s="10"/>
      <c r="G5" s="10">
        <f>IF(AND(ISNUMBER(Calc_RhV!G5),ISNUMBER(Manual_RhV!G5)),Calc_RhV!G5/Manual_RhV!G5,IF(AND(ISNUMBER(Calc_RhV!G5),NOT(ISNUMBER(Manual_RhV!G5))),"só calc",IF(AND(ISNUMBER(Manual_RhV!G5),NOT(ISNUMBER(Calc_RhV!G5))),"só manual","sem valor")))</f>
        <v>1</v>
      </c>
      <c r="H5" s="10"/>
      <c r="I5" s="10">
        <f>IF(AND(ISNUMBER(Calc_RhV!I5),ISNUMBER(Manual_RhV!I5)),Calc_RhV!I5/Manual_RhV!I5,IF(AND(ISNUMBER(Calc_RhV!I5),NOT(ISNUMBER(Manual_RhV!I5))),"só calc",IF(AND(ISNUMBER(Manual_RhV!I5),NOT(ISNUMBER(Calc_RhV!I5))),"só manual","sem valor")))</f>
        <v>1</v>
      </c>
      <c r="J5" s="10"/>
      <c r="K5" s="10">
        <f>IF(AND(ISNUMBER(Calc_RhV!K5),ISNUMBER(Manual_RhV!K5)),Calc_RhV!K5/Manual_RhV!K5,IF(AND(ISNUMBER(Calc_RhV!K5),NOT(ISNUMBER(Manual_RhV!K5))),"só calc",IF(AND(ISNUMBER(Manual_RhV!K5),NOT(ISNUMBER(Calc_RhV!K5))),"só manual","sem valor")))</f>
        <v>1</v>
      </c>
      <c r="L5" s="10"/>
      <c r="M5" s="10">
        <f>IF(AND(ISNUMBER(Calc_RhV!M5),ISNUMBER(Manual_RhV!M5)),Calc_RhV!M5/Manual_RhV!M5,IF(AND(ISNUMBER(Calc_RhV!M5),NOT(ISNUMBER(Manual_RhV!M5))),"só calc",IF(AND(ISNUMBER(Manual_RhV!M5),NOT(ISNUMBER(Calc_RhV!M5))),"só manual","sem valor")))</f>
        <v>1.0020289331398597</v>
      </c>
      <c r="N5" s="10"/>
      <c r="O5" s="10">
        <f>IF(AND(ISNUMBER(Calc_RhV!O5),ISNUMBER(Manual_RhV!O5)),Calc_RhV!O5/Manual_RhV!O5,IF(AND(ISNUMBER(Calc_RhV!O5),NOT(ISNUMBER(Manual_RhV!O5))),"só calc",IF(AND(ISNUMBER(Manual_RhV!O5),NOT(ISNUMBER(Calc_RhV!O5))),"só manual","sem valor")))</f>
        <v>1</v>
      </c>
      <c r="P5" s="10"/>
      <c r="Q5" s="10">
        <f>IF(AND(ISNUMBER(Calc_RhV!Q5),ISNUMBER(Manual_RhV!Q5)),Calc_RhV!Q5/Manual_RhV!Q5,IF(AND(ISNUMBER(Calc_RhV!Q5),NOT(ISNUMBER(Manual_RhV!Q5))),"só calc",IF(AND(ISNUMBER(Manual_RhV!Q5),NOT(ISNUMBER(Calc_RhV!Q5))),"só manual","sem valor")))</f>
        <v>1</v>
      </c>
      <c r="R5" s="10"/>
      <c r="S5" s="10">
        <f>IF(AND(ISNUMBER(Calc_RhV!S5),ISNUMBER(Manual_RhV!S5)),Calc_RhV!S5/Manual_RhV!S5,IF(AND(ISNUMBER(Calc_RhV!S5),NOT(ISNUMBER(Manual_RhV!S5))),"só calc",IF(AND(ISNUMBER(Manual_RhV!S5),NOT(ISNUMBER(Calc_RhV!S5))),"só manual","sem valor")))</f>
        <v>1</v>
      </c>
      <c r="T5" s="10"/>
      <c r="U5" s="10">
        <f>IF(AND(ISNUMBER(Calc_RhV!U5),ISNUMBER(Manual_RhV!U5)),Calc_RhV!U5/Manual_RhV!U5,IF(AND(ISNUMBER(Calc_RhV!U5),NOT(ISNUMBER(Manual_RhV!U5))),"só calc",IF(AND(ISNUMBER(Manual_RhV!U5),NOT(ISNUMBER(Calc_RhV!U5))),"só manual","sem valor")))</f>
        <v>1</v>
      </c>
      <c r="V5" s="10"/>
      <c r="W5" s="10">
        <f>IF(AND(ISNUMBER(Calc_RhV!W5),ISNUMBER(Manual_RhV!W5)),Calc_RhV!W5/Manual_RhV!W5,IF(AND(ISNUMBER(Calc_RhV!W5),NOT(ISNUMBER(Manual_RhV!W5))),"só calc",IF(AND(ISNUMBER(Manual_RhV!W5),NOT(ISNUMBER(Calc_RhV!W5))),"só manual","sem valor")))</f>
        <v>1</v>
      </c>
      <c r="X5" s="10"/>
    </row>
    <row r="6" spans="1:24" x14ac:dyDescent="0.25">
      <c r="A6" s="11" t="s">
        <v>49</v>
      </c>
      <c r="B6" s="11" t="str">
        <f>Calc_RhV!B6</f>
        <v>Pd Folha tomate 3</v>
      </c>
      <c r="C6" s="12">
        <f>IF(AND(ISNUMBER(Calc_RhV!C6),ISNUMBER(Manual_RhV!C6)),Calc_RhV!C6/Manual_RhV!C6,IF(AND(ISNUMBER(Calc_RhV!C6),NOT(ISNUMBER(Manual_RhV!C6))),"só calc",IF(AND(ISNUMBER(Manual_RhV!C6),NOT(ISNUMBER(Calc_RhV!C6))),"só manual","sem valor")))</f>
        <v>1</v>
      </c>
      <c r="D6" s="12">
        <f>IF(AND(ISNUMBER(Calc_RhV!D6),ISNUMBER(Manual_RhV!D6)),Calc_RhV!D6/Manual_RhV!D6,IF(AND(ISNUMBER(Calc_RhV!D6),NOT(ISNUMBER(Manual_RhV!D6))),"só calc",IF(AND(ISNUMBER(Manual_RhV!D6),NOT(ISNUMBER(Calc_RhV!D6))),"só manual","sem valor")))</f>
        <v>1</v>
      </c>
      <c r="E6" s="12">
        <f>IF(AND(ISNUMBER(Calc_RhV!E6),ISNUMBER(Manual_RhV!E6)),Calc_RhV!E6/Manual_RhV!E6,IF(AND(ISNUMBER(Calc_RhV!E6),NOT(ISNUMBER(Manual_RhV!E6))),"só calc",IF(AND(ISNUMBER(Manual_RhV!E6),NOT(ISNUMBER(Calc_RhV!E6))),"só manual","sem valor")))</f>
        <v>1</v>
      </c>
      <c r="F6" s="12">
        <f>IF(AND(ISNUMBER(Calc_RhV!F6),ISNUMBER(Manual_RhV!F6)),Calc_RhV!F6/Manual_RhV!F6,IF(AND(ISNUMBER(Calc_RhV!F6),NOT(ISNUMBER(Manual_RhV!F6))),"só calc",IF(AND(ISNUMBER(Manual_RhV!F6),NOT(ISNUMBER(Calc_RhV!F6))),"só manual","sem valor")))</f>
        <v>1</v>
      </c>
      <c r="G6" s="12">
        <f>IF(AND(ISNUMBER(Calc_RhV!G6),ISNUMBER(Manual_RhV!G6)),Calc_RhV!G6/Manual_RhV!G6,IF(AND(ISNUMBER(Calc_RhV!G6),NOT(ISNUMBER(Manual_RhV!G6))),"só calc",IF(AND(ISNUMBER(Manual_RhV!G6),NOT(ISNUMBER(Calc_RhV!G6))),"só manual","sem valor")))</f>
        <v>1</v>
      </c>
      <c r="H6" s="12">
        <f>IF(AND(ISNUMBER(Calc_RhV!H6),ISNUMBER(Manual_RhV!H6)),Calc_RhV!H6/Manual_RhV!H6,IF(AND(ISNUMBER(Calc_RhV!H6),NOT(ISNUMBER(Manual_RhV!H6))),"só calc",IF(AND(ISNUMBER(Manual_RhV!H6),NOT(ISNUMBER(Calc_RhV!H6))),"só manual","sem valor")))</f>
        <v>1</v>
      </c>
      <c r="I6" s="12">
        <f>IF(AND(ISNUMBER(Calc_RhV!I6),ISNUMBER(Manual_RhV!I6)),Calc_RhV!I6/Manual_RhV!I6,IF(AND(ISNUMBER(Calc_RhV!I6),NOT(ISNUMBER(Manual_RhV!I6))),"só calc",IF(AND(ISNUMBER(Manual_RhV!I6),NOT(ISNUMBER(Calc_RhV!I6))),"só manual","sem valor")))</f>
        <v>1</v>
      </c>
      <c r="J6" s="12">
        <f>IF(AND(ISNUMBER(Calc_RhV!J6),ISNUMBER(Manual_RhV!J6)),Calc_RhV!J6/Manual_RhV!J6,IF(AND(ISNUMBER(Calc_RhV!J6),NOT(ISNUMBER(Manual_RhV!J6))),"só calc",IF(AND(ISNUMBER(Manual_RhV!J6),NOT(ISNUMBER(Calc_RhV!J6))),"só manual","sem valor")))</f>
        <v>1</v>
      </c>
      <c r="K6" s="12">
        <f>IF(AND(ISNUMBER(Calc_RhV!K6),ISNUMBER(Manual_RhV!K6)),Calc_RhV!K6/Manual_RhV!K6,IF(AND(ISNUMBER(Calc_RhV!K6),NOT(ISNUMBER(Manual_RhV!K6))),"só calc",IF(AND(ISNUMBER(Manual_RhV!K6),NOT(ISNUMBER(Calc_RhV!K6))),"só manual","sem valor")))</f>
        <v>1</v>
      </c>
      <c r="L6" s="12">
        <f>IF(AND(ISNUMBER(Calc_RhV!L6),ISNUMBER(Manual_RhV!L6)),Calc_RhV!L6/Manual_RhV!L6,IF(AND(ISNUMBER(Calc_RhV!L6),NOT(ISNUMBER(Manual_RhV!L6))),"só calc",IF(AND(ISNUMBER(Manual_RhV!L6),NOT(ISNUMBER(Calc_RhV!L6))),"só manual","sem valor")))</f>
        <v>1</v>
      </c>
      <c r="M6" s="12">
        <f>IF(AND(ISNUMBER(Calc_RhV!M6),ISNUMBER(Manual_RhV!M6)),Calc_RhV!M6/Manual_RhV!M6,IF(AND(ISNUMBER(Calc_RhV!M6),NOT(ISNUMBER(Manual_RhV!M6))),"só calc",IF(AND(ISNUMBER(Manual_RhV!M6),NOT(ISNUMBER(Calc_RhV!M6))),"só manual","sem valor")))</f>
        <v>1</v>
      </c>
      <c r="N6" s="12">
        <f>IF(AND(ISNUMBER(Calc_RhV!N6),ISNUMBER(Manual_RhV!N6)),Calc_RhV!N6/Manual_RhV!N6,IF(AND(ISNUMBER(Calc_RhV!N6),NOT(ISNUMBER(Manual_RhV!N6))),"só calc",IF(AND(ISNUMBER(Manual_RhV!N6),NOT(ISNUMBER(Calc_RhV!N6))),"só manual","sem valor")))</f>
        <v>1</v>
      </c>
      <c r="O6" s="12">
        <f>IF(AND(ISNUMBER(Calc_RhV!O6),ISNUMBER(Manual_RhV!O6)),Calc_RhV!O6/Manual_RhV!O6,IF(AND(ISNUMBER(Calc_RhV!O6),NOT(ISNUMBER(Manual_RhV!O6))),"só calc",IF(AND(ISNUMBER(Manual_RhV!O6),NOT(ISNUMBER(Calc_RhV!O6))),"só manual","sem valor")))</f>
        <v>1</v>
      </c>
      <c r="P6" s="12">
        <f>IF(AND(ISNUMBER(Calc_RhV!P6),ISNUMBER(Manual_RhV!P6)),Calc_RhV!P6/Manual_RhV!P6,IF(AND(ISNUMBER(Calc_RhV!P6),NOT(ISNUMBER(Manual_RhV!P6))),"só calc",IF(AND(ISNUMBER(Manual_RhV!P6),NOT(ISNUMBER(Calc_RhV!P6))),"só manual","sem valor")))</f>
        <v>1</v>
      </c>
      <c r="Q6" s="12">
        <f>IF(AND(ISNUMBER(Calc_RhV!Q6),ISNUMBER(Manual_RhV!Q6)),Calc_RhV!Q6/Manual_RhV!Q6,IF(AND(ISNUMBER(Calc_RhV!Q6),NOT(ISNUMBER(Manual_RhV!Q6))),"só calc",IF(AND(ISNUMBER(Manual_RhV!Q6),NOT(ISNUMBER(Calc_RhV!Q6))),"só manual","sem valor")))</f>
        <v>1</v>
      </c>
      <c r="R6" s="12">
        <f>IF(AND(ISNUMBER(Calc_RhV!R6),ISNUMBER(Manual_RhV!R6)),Calc_RhV!R6/Manual_RhV!R6,IF(AND(ISNUMBER(Calc_RhV!R6),NOT(ISNUMBER(Manual_RhV!R6))),"só calc",IF(AND(ISNUMBER(Manual_RhV!R6),NOT(ISNUMBER(Calc_RhV!R6))),"só manual","sem valor")))</f>
        <v>1</v>
      </c>
      <c r="S6" s="12">
        <f>IF(AND(ISNUMBER(Calc_RhV!S6),ISNUMBER(Manual_RhV!S6)),Calc_RhV!S6/Manual_RhV!S6,IF(AND(ISNUMBER(Calc_RhV!S6),NOT(ISNUMBER(Manual_RhV!S6))),"só calc",IF(AND(ISNUMBER(Manual_RhV!S6),NOT(ISNUMBER(Calc_RhV!S6))),"só manual","sem valor")))</f>
        <v>1</v>
      </c>
      <c r="T6" s="12">
        <f>IF(AND(ISNUMBER(Calc_RhV!T6),ISNUMBER(Manual_RhV!T6)),Calc_RhV!T6/Manual_RhV!T6,IF(AND(ISNUMBER(Calc_RhV!T6),NOT(ISNUMBER(Manual_RhV!T6))),"só calc",IF(AND(ISNUMBER(Manual_RhV!T6),NOT(ISNUMBER(Calc_RhV!T6))),"só manual","sem valor")))</f>
        <v>1</v>
      </c>
      <c r="U6" s="12">
        <f>IF(AND(ISNUMBER(Calc_RhV!U6),ISNUMBER(Manual_RhV!U6)),Calc_RhV!U6/Manual_RhV!U6,IF(AND(ISNUMBER(Calc_RhV!U6),NOT(ISNUMBER(Manual_RhV!U6))),"só calc",IF(AND(ISNUMBER(Manual_RhV!U6),NOT(ISNUMBER(Calc_RhV!U6))),"só manual","sem valor")))</f>
        <v>1</v>
      </c>
      <c r="V6" s="12">
        <f>IF(AND(ISNUMBER(Calc_RhV!V6),ISNUMBER(Manual_RhV!V6)),Calc_RhV!V6/Manual_RhV!V6,IF(AND(ISNUMBER(Calc_RhV!V6),NOT(ISNUMBER(Manual_RhV!V6))),"só calc",IF(AND(ISNUMBER(Manual_RhV!V6),NOT(ISNUMBER(Calc_RhV!V6))),"só manual","sem valor")))</f>
        <v>1</v>
      </c>
      <c r="W6" s="12">
        <f>IF(AND(ISNUMBER(Calc_RhV!W6),ISNUMBER(Manual_RhV!W6)),Calc_RhV!W6/Manual_RhV!W6,IF(AND(ISNUMBER(Calc_RhV!W6),NOT(ISNUMBER(Manual_RhV!W6))),"só calc",IF(AND(ISNUMBER(Manual_RhV!W6),NOT(ISNUMBER(Calc_RhV!W6))),"só manual","sem valor")))</f>
        <v>1</v>
      </c>
      <c r="X6" s="12">
        <f>IF(AND(ISNUMBER(Calc_RhV!X6),ISNUMBER(Manual_RhV!X6)),Calc_RhV!X6/Manual_RhV!X6,IF(AND(ISNUMBER(Calc_RhV!X6),NOT(ISNUMBER(Manual_RhV!X6))),"só calc",IF(AND(ISNUMBER(Manual_RhV!X6),NOT(ISNUMBER(Calc_RhV!X6))),"só manual","sem valor")))</f>
        <v>1.0000000000000002</v>
      </c>
    </row>
    <row r="7" spans="1:24" x14ac:dyDescent="0.25">
      <c r="A7" s="11" t="s">
        <v>50</v>
      </c>
      <c r="B7" s="11" t="str">
        <f>Calc_RhV!B7</f>
        <v>R2</v>
      </c>
      <c r="C7" s="12">
        <f>IF(AND(ISNUMBER(Calc_RhV!C7),ISNUMBER(Manual_RhV!C7)),Calc_RhV!C7/Manual_RhV!C7,IF(AND(ISNUMBER(Calc_RhV!C7),NOT(ISNUMBER(Manual_RhV!C7))),"só calc",IF(AND(ISNUMBER(Manual_RhV!C7),NOT(ISNUMBER(Calc_RhV!C7))),"só manual","sem valor")))</f>
        <v>0.69493521790341584</v>
      </c>
      <c r="D7" s="12">
        <f>IF(AND(ISNUMBER(Calc_RhV!D7),ISNUMBER(Manual_RhV!D7)),Calc_RhV!D7/Manual_RhV!D7,IF(AND(ISNUMBER(Calc_RhV!D7),NOT(ISNUMBER(Manual_RhV!D7))),"só calc",IF(AND(ISNUMBER(Manual_RhV!D7),NOT(ISNUMBER(Calc_RhV!D7))),"só manual","sem valor")))</f>
        <v>0.69309816065064156</v>
      </c>
      <c r="E7" s="12">
        <f>IF(AND(ISNUMBER(Calc_RhV!E7),ISNUMBER(Manual_RhV!E7)),Calc_RhV!E7/Manual_RhV!E7,IF(AND(ISNUMBER(Calc_RhV!E7),NOT(ISNUMBER(Manual_RhV!E7))),"só calc",IF(AND(ISNUMBER(Manual_RhV!E7),NOT(ISNUMBER(Calc_RhV!E7))),"só manual","sem valor")))</f>
        <v>0.69493521790341595</v>
      </c>
      <c r="F7" s="12">
        <f>IF(AND(ISNUMBER(Calc_RhV!F7),ISNUMBER(Manual_RhV!F7)),Calc_RhV!F7/Manual_RhV!F7,IF(AND(ISNUMBER(Calc_RhV!F7),NOT(ISNUMBER(Manual_RhV!F7))),"só calc",IF(AND(ISNUMBER(Manual_RhV!F7),NOT(ISNUMBER(Calc_RhV!F7))),"só manual","sem valor")))</f>
        <v>0.69674347853786611</v>
      </c>
      <c r="G7" s="12">
        <f>IF(AND(ISNUMBER(Calc_RhV!G7),ISNUMBER(Manual_RhV!G7)),Calc_RhV!G7/Manual_RhV!G7,IF(AND(ISNUMBER(Calc_RhV!G7),NOT(ISNUMBER(Manual_RhV!G7))),"só calc",IF(AND(ISNUMBER(Manual_RhV!G7),NOT(ISNUMBER(Calc_RhV!G7))),"só manual","sem valor")))</f>
        <v>0.69493521790341617</v>
      </c>
      <c r="H7" s="12">
        <f>IF(AND(ISNUMBER(Calc_RhV!H7),ISNUMBER(Manual_RhV!H7)),Calc_RhV!H7/Manual_RhV!H7,IF(AND(ISNUMBER(Calc_RhV!H7),NOT(ISNUMBER(Manual_RhV!H7))),"só calc",IF(AND(ISNUMBER(Manual_RhV!H7),NOT(ISNUMBER(Calc_RhV!H7))),"só manual","sem valor")))</f>
        <v>0.69394402684665768</v>
      </c>
      <c r="I7" s="12">
        <f>IF(AND(ISNUMBER(Calc_RhV!I7),ISNUMBER(Manual_RhV!I7)),Calc_RhV!I7/Manual_RhV!I7,IF(AND(ISNUMBER(Calc_RhV!I7),NOT(ISNUMBER(Manual_RhV!I7))),"só calc",IF(AND(ISNUMBER(Manual_RhV!I7),NOT(ISNUMBER(Calc_RhV!I7))),"só manual","sem valor")))</f>
        <v>0.69493521790341561</v>
      </c>
      <c r="J7" s="12">
        <f>IF(AND(ISNUMBER(Calc_RhV!J7),ISNUMBER(Manual_RhV!J7)),Calc_RhV!J7/Manual_RhV!J7,IF(AND(ISNUMBER(Calc_RhV!J7),NOT(ISNUMBER(Manual_RhV!J7))),"só calc",IF(AND(ISNUMBER(Manual_RhV!J7),NOT(ISNUMBER(Calc_RhV!J7))),"só manual","sem valor")))</f>
        <v>0.69495162260411858</v>
      </c>
      <c r="K7" s="12">
        <f>IF(AND(ISNUMBER(Calc_RhV!K7),ISNUMBER(Manual_RhV!K7)),Calc_RhV!K7/Manual_RhV!K7,IF(AND(ISNUMBER(Calc_RhV!K7),NOT(ISNUMBER(Manual_RhV!K7))),"só calc",IF(AND(ISNUMBER(Manual_RhV!K7),NOT(ISNUMBER(Calc_RhV!K7))),"só manual","sem valor")))</f>
        <v>0.69493521790341584</v>
      </c>
      <c r="L7" s="12">
        <f>IF(AND(ISNUMBER(Calc_RhV!L7),ISNUMBER(Manual_RhV!L7)),Calc_RhV!L7/Manual_RhV!L7,IF(AND(ISNUMBER(Calc_RhV!L7),NOT(ISNUMBER(Manual_RhV!L7))),"só calc",IF(AND(ISNUMBER(Manual_RhV!L7),NOT(ISNUMBER(Calc_RhV!L7))),"só manual","sem valor")))</f>
        <v>0.69431822934265242</v>
      </c>
      <c r="M7" s="12">
        <f>IF(AND(ISNUMBER(Calc_RhV!M7),ISNUMBER(Manual_RhV!M7)),Calc_RhV!M7/Manual_RhV!M7,IF(AND(ISNUMBER(Calc_RhV!M7),NOT(ISNUMBER(Manual_RhV!M7))),"só calc",IF(AND(ISNUMBER(Manual_RhV!M7),NOT(ISNUMBER(Calc_RhV!M7))),"só manual","sem valor")))</f>
        <v>0.69493521790341595</v>
      </c>
      <c r="N7" s="12">
        <f>IF(AND(ISNUMBER(Calc_RhV!N7),ISNUMBER(Manual_RhV!N7)),Calc_RhV!N7/Manual_RhV!N7,IF(AND(ISNUMBER(Calc_RhV!N7),NOT(ISNUMBER(Manual_RhV!N7))),"só calc",IF(AND(ISNUMBER(Manual_RhV!N7),NOT(ISNUMBER(Calc_RhV!N7))),"só manual","sem valor")))</f>
        <v>0.69462383316617837</v>
      </c>
      <c r="O7" s="12">
        <f>IF(AND(ISNUMBER(Calc_RhV!O7),ISNUMBER(Manual_RhV!O7)),Calc_RhV!O7/Manual_RhV!O7,IF(AND(ISNUMBER(Calc_RhV!O7),NOT(ISNUMBER(Manual_RhV!O7))),"só calc",IF(AND(ISNUMBER(Manual_RhV!O7),NOT(ISNUMBER(Calc_RhV!O7))),"só manual","sem valor")))</f>
        <v>0.69493521790341595</v>
      </c>
      <c r="P7" s="12">
        <f>IF(AND(ISNUMBER(Calc_RhV!P7),ISNUMBER(Manual_RhV!P7)),Calc_RhV!P7/Manual_RhV!P7,IF(AND(ISNUMBER(Calc_RhV!P7),NOT(ISNUMBER(Manual_RhV!P7))),"só calc",IF(AND(ISNUMBER(Manual_RhV!P7),NOT(ISNUMBER(Calc_RhV!P7))),"só manual","sem valor")))</f>
        <v>0.69520040468051914</v>
      </c>
      <c r="Q7" s="12">
        <f>IF(AND(ISNUMBER(Calc_RhV!Q7),ISNUMBER(Manual_RhV!Q7)),Calc_RhV!Q7/Manual_RhV!Q7,IF(AND(ISNUMBER(Calc_RhV!Q7),NOT(ISNUMBER(Manual_RhV!Q7))),"só calc",IF(AND(ISNUMBER(Manual_RhV!Q7),NOT(ISNUMBER(Calc_RhV!Q7))),"só manual","sem valor")))</f>
        <v>0.69493521790341584</v>
      </c>
      <c r="R7" s="12">
        <f>IF(AND(ISNUMBER(Calc_RhV!R7),ISNUMBER(Manual_RhV!R7)),Calc_RhV!R7/Manual_RhV!R7,IF(AND(ISNUMBER(Calc_RhV!R7),NOT(ISNUMBER(Manual_RhV!R7))),"só calc",IF(AND(ISNUMBER(Manual_RhV!R7),NOT(ISNUMBER(Calc_RhV!R7))),"só manual","sem valor")))</f>
        <v>0.69494560294208751</v>
      </c>
      <c r="S7" s="12">
        <f>IF(AND(ISNUMBER(Calc_RhV!S7),ISNUMBER(Manual_RhV!S7)),Calc_RhV!S7/Manual_RhV!S7,IF(AND(ISNUMBER(Calc_RhV!S7),NOT(ISNUMBER(Manual_RhV!S7))),"só calc",IF(AND(ISNUMBER(Manual_RhV!S7),NOT(ISNUMBER(Calc_RhV!S7))),"só manual","sem valor")))</f>
        <v>0.69493521790341595</v>
      </c>
      <c r="T7" s="12">
        <f>IF(AND(ISNUMBER(Calc_RhV!T7),ISNUMBER(Manual_RhV!T7)),Calc_RhV!T7/Manual_RhV!T7,IF(AND(ISNUMBER(Calc_RhV!T7),NOT(ISNUMBER(Manual_RhV!T7))),"só calc",IF(AND(ISNUMBER(Manual_RhV!T7),NOT(ISNUMBER(Calc_RhV!T7))),"só manual","sem valor")))</f>
        <v>0.69404976588714551</v>
      </c>
      <c r="U7" s="12">
        <f>IF(AND(ISNUMBER(Calc_RhV!U7),ISNUMBER(Manual_RhV!U7)),Calc_RhV!U7/Manual_RhV!U7,IF(AND(ISNUMBER(Calc_RhV!U7),NOT(ISNUMBER(Manual_RhV!U7))),"só calc",IF(AND(ISNUMBER(Manual_RhV!U7),NOT(ISNUMBER(Calc_RhV!U7))),"só manual","sem valor")))</f>
        <v>0.69493521790341584</v>
      </c>
      <c r="V7" s="12">
        <f>IF(AND(ISNUMBER(Calc_RhV!V7),ISNUMBER(Manual_RhV!V7)),Calc_RhV!V7/Manual_RhV!V7,IF(AND(ISNUMBER(Calc_RhV!V7),NOT(ISNUMBER(Manual_RhV!V7))),"só calc",IF(AND(ISNUMBER(Manual_RhV!V7),NOT(ISNUMBER(Calc_RhV!V7))),"só manual","sem valor")))</f>
        <v>0.69519523992419507</v>
      </c>
      <c r="W7" s="12">
        <f>IF(AND(ISNUMBER(Calc_RhV!W7),ISNUMBER(Manual_RhV!W7)),Calc_RhV!W7/Manual_RhV!W7,IF(AND(ISNUMBER(Calc_RhV!W7),NOT(ISNUMBER(Manual_RhV!W7))),"só calc",IF(AND(ISNUMBER(Manual_RhV!W7),NOT(ISNUMBER(Calc_RhV!W7))),"só manual","sem valor")))</f>
        <v>0.69493521790341573</v>
      </c>
      <c r="X7" s="12">
        <f>IF(AND(ISNUMBER(Calc_RhV!X7),ISNUMBER(Manual_RhV!X7)),Calc_RhV!X7/Manual_RhV!X7,IF(AND(ISNUMBER(Calc_RhV!X7),NOT(ISNUMBER(Manual_RhV!X7))),"só calc",IF(AND(ISNUMBER(Manual_RhV!X7),NOT(ISNUMBER(Calc_RhV!X7))),"só manual","sem valor")))</f>
        <v>0.69479774898898505</v>
      </c>
    </row>
    <row r="8" spans="1:24" x14ac:dyDescent="0.25">
      <c r="A8" s="11" t="s">
        <v>51</v>
      </c>
      <c r="B8" s="11" t="str">
        <f>Calc_RhV!B8</f>
        <v>R3</v>
      </c>
      <c r="C8" s="12">
        <f>IF(AND(ISNUMBER(Calc_RhV!C8),ISNUMBER(Manual_RhV!C8)),Calc_RhV!C8/Manual_RhV!C8,IF(AND(ISNUMBER(Calc_RhV!C8),NOT(ISNUMBER(Manual_RhV!C8))),"só calc",IF(AND(ISNUMBER(Manual_RhV!C8),NOT(ISNUMBER(Calc_RhV!C8))),"só manual","sem valor")))</f>
        <v>0.66207117665918569</v>
      </c>
      <c r="D8" s="12">
        <f>IF(AND(ISNUMBER(Calc_RhV!D8),ISNUMBER(Manual_RhV!D8)),Calc_RhV!D8/Manual_RhV!D8,IF(AND(ISNUMBER(Calc_RhV!D8),NOT(ISNUMBER(Manual_RhV!D8))),"só calc",IF(AND(ISNUMBER(Manual_RhV!D8),NOT(ISNUMBER(Calc_RhV!D8))),"só manual","sem valor")))</f>
        <v>0.66201949099015178</v>
      </c>
      <c r="E8" s="12">
        <f>IF(AND(ISNUMBER(Calc_RhV!E8),ISNUMBER(Manual_RhV!E8)),Calc_RhV!E8/Manual_RhV!E8,IF(AND(ISNUMBER(Calc_RhV!E8),NOT(ISNUMBER(Manual_RhV!E8))),"só calc",IF(AND(ISNUMBER(Manual_RhV!E8),NOT(ISNUMBER(Calc_RhV!E8))),"só manual","sem valor")))</f>
        <v>0.6620711766591858</v>
      </c>
      <c r="F8" s="12">
        <f>IF(AND(ISNUMBER(Calc_RhV!F8),ISNUMBER(Manual_RhV!F8)),Calc_RhV!F8/Manual_RhV!F8,IF(AND(ISNUMBER(Calc_RhV!F8),NOT(ISNUMBER(Manual_RhV!F8))),"só calc",IF(AND(ISNUMBER(Manual_RhV!F8),NOT(ISNUMBER(Calc_RhV!F8))),"só manual","sem valor")))</f>
        <v>0.66626640347533783</v>
      </c>
      <c r="G8" s="12">
        <f>IF(AND(ISNUMBER(Calc_RhV!G8),ISNUMBER(Manual_RhV!G8)),Calc_RhV!G8/Manual_RhV!G8,IF(AND(ISNUMBER(Calc_RhV!G8),NOT(ISNUMBER(Manual_RhV!G8))),"só calc",IF(AND(ISNUMBER(Manual_RhV!G8),NOT(ISNUMBER(Calc_RhV!G8))),"só manual","sem valor")))</f>
        <v>0.6620711766591858</v>
      </c>
      <c r="H8" s="12">
        <f>IF(AND(ISNUMBER(Calc_RhV!H8),ISNUMBER(Manual_RhV!H8)),Calc_RhV!H8/Manual_RhV!H8,IF(AND(ISNUMBER(Calc_RhV!H8),NOT(ISNUMBER(Manual_RhV!H8))),"só calc",IF(AND(ISNUMBER(Manual_RhV!H8),NOT(ISNUMBER(Calc_RhV!H8))),"só manual","sem valor")))</f>
        <v>0.66411724457635413</v>
      </c>
      <c r="I8" s="12">
        <f>IF(AND(ISNUMBER(Calc_RhV!I8),ISNUMBER(Manual_RhV!I8)),Calc_RhV!I8/Manual_RhV!I8,IF(AND(ISNUMBER(Calc_RhV!I8),NOT(ISNUMBER(Manual_RhV!I8))),"só calc",IF(AND(ISNUMBER(Manual_RhV!I8),NOT(ISNUMBER(Calc_RhV!I8))),"só manual","sem valor")))</f>
        <v>0.66207117665918558</v>
      </c>
      <c r="J8" s="12">
        <f>IF(AND(ISNUMBER(Calc_RhV!J8),ISNUMBER(Manual_RhV!J8)),Calc_RhV!J8/Manual_RhV!J8,IF(AND(ISNUMBER(Calc_RhV!J8),NOT(ISNUMBER(Manual_RhV!J8))),"só calc",IF(AND(ISNUMBER(Manual_RhV!J8),NOT(ISNUMBER(Calc_RhV!J8))),"só manual","sem valor")))</f>
        <v>0.66195975961234033</v>
      </c>
      <c r="K8" s="12">
        <f>IF(AND(ISNUMBER(Calc_RhV!K8),ISNUMBER(Manual_RhV!K8)),Calc_RhV!K8/Manual_RhV!K8,IF(AND(ISNUMBER(Calc_RhV!K8),NOT(ISNUMBER(Manual_RhV!K8))),"só calc",IF(AND(ISNUMBER(Manual_RhV!K8),NOT(ISNUMBER(Calc_RhV!K8))),"só manual","sem valor")))</f>
        <v>0.66207117665918613</v>
      </c>
      <c r="L8" s="12">
        <f>IF(AND(ISNUMBER(Calc_RhV!L8),ISNUMBER(Manual_RhV!L8)),Calc_RhV!L8/Manual_RhV!L8,IF(AND(ISNUMBER(Calc_RhV!L8),NOT(ISNUMBER(Manual_RhV!L8))),"só calc",IF(AND(ISNUMBER(Manual_RhV!L8),NOT(ISNUMBER(Calc_RhV!L8))),"só manual","sem valor")))</f>
        <v>0.66165948250766049</v>
      </c>
      <c r="M8" s="12">
        <f>IF(AND(ISNUMBER(Calc_RhV!M8),ISNUMBER(Manual_RhV!M8)),Calc_RhV!M8/Manual_RhV!M8,IF(AND(ISNUMBER(Calc_RhV!M8),NOT(ISNUMBER(Manual_RhV!M8))),"só calc",IF(AND(ISNUMBER(Manual_RhV!M8),NOT(ISNUMBER(Calc_RhV!M8))),"só manual","sem valor")))</f>
        <v>0.6620711766591858</v>
      </c>
      <c r="N8" s="12">
        <f>IF(AND(ISNUMBER(Calc_RhV!N8),ISNUMBER(Manual_RhV!N8)),Calc_RhV!N8/Manual_RhV!N8,IF(AND(ISNUMBER(Calc_RhV!N8),NOT(ISNUMBER(Manual_RhV!N8))),"só calc",IF(AND(ISNUMBER(Manual_RhV!N8),NOT(ISNUMBER(Calc_RhV!N8))),"só manual","sem valor")))</f>
        <v>0.66229156535869582</v>
      </c>
      <c r="O8" s="12">
        <f>IF(AND(ISNUMBER(Calc_RhV!O8),ISNUMBER(Manual_RhV!O8)),Calc_RhV!O8/Manual_RhV!O8,IF(AND(ISNUMBER(Calc_RhV!O8),NOT(ISNUMBER(Manual_RhV!O8))),"só calc",IF(AND(ISNUMBER(Manual_RhV!O8),NOT(ISNUMBER(Calc_RhV!O8))),"só manual","sem valor")))</f>
        <v>0.66207117665918547</v>
      </c>
      <c r="P8" s="12">
        <f>IF(AND(ISNUMBER(Calc_RhV!P8),ISNUMBER(Manual_RhV!P8)),Calc_RhV!P8/Manual_RhV!P8,IF(AND(ISNUMBER(Calc_RhV!P8),NOT(ISNUMBER(Manual_RhV!P8))),"só calc",IF(AND(ISNUMBER(Manual_RhV!P8),NOT(ISNUMBER(Calc_RhV!P8))),"só manual","sem valor")))</f>
        <v>0.6634011425897901</v>
      </c>
      <c r="Q8" s="12">
        <f>IF(AND(ISNUMBER(Calc_RhV!Q8),ISNUMBER(Manual_RhV!Q8)),Calc_RhV!Q8/Manual_RhV!Q8,IF(AND(ISNUMBER(Calc_RhV!Q8),NOT(ISNUMBER(Manual_RhV!Q8))),"só calc",IF(AND(ISNUMBER(Manual_RhV!Q8),NOT(ISNUMBER(Calc_RhV!Q8))),"só manual","sem valor")))</f>
        <v>0.66207117665918591</v>
      </c>
      <c r="R8" s="12">
        <f>IF(AND(ISNUMBER(Calc_RhV!R8),ISNUMBER(Manual_RhV!R8)),Calc_RhV!R8/Manual_RhV!R8,IF(AND(ISNUMBER(Calc_RhV!R8),NOT(ISNUMBER(Manual_RhV!R8))),"só calc",IF(AND(ISNUMBER(Manual_RhV!R8),NOT(ISNUMBER(Calc_RhV!R8))),"só manual","sem valor")))</f>
        <v>0.66208082104280674</v>
      </c>
      <c r="S8" s="12">
        <f>IF(AND(ISNUMBER(Calc_RhV!S8),ISNUMBER(Manual_RhV!S8)),Calc_RhV!S8/Manual_RhV!S8,IF(AND(ISNUMBER(Calc_RhV!S8),NOT(ISNUMBER(Manual_RhV!S8))),"só calc",IF(AND(ISNUMBER(Manual_RhV!S8),NOT(ISNUMBER(Calc_RhV!S8))),"só manual","sem valor")))</f>
        <v>0.6620711766591858</v>
      </c>
      <c r="T8" s="12">
        <f>IF(AND(ISNUMBER(Calc_RhV!T8),ISNUMBER(Manual_RhV!T8)),Calc_RhV!T8/Manual_RhV!T8,IF(AND(ISNUMBER(Calc_RhV!T8),NOT(ISNUMBER(Manual_RhV!T8))),"só calc",IF(AND(ISNUMBER(Manual_RhV!T8),NOT(ISNUMBER(Calc_RhV!T8))),"só manual","sem valor")))</f>
        <v>0.66158098298191448</v>
      </c>
      <c r="U8" s="12" t="str">
        <f>IF(AND(ISNUMBER(Calc_RhV!U8),ISNUMBER(Manual_RhV!U8)),Calc_RhV!U8/Manual_RhV!U8,IF(AND(ISNUMBER(Calc_RhV!U8),NOT(ISNUMBER(Manual_RhV!U8))),"só calc",IF(AND(ISNUMBER(Manual_RhV!U8),NOT(ISNUMBER(Calc_RhV!U8))),"só manual","sem valor")))</f>
        <v>sem valor</v>
      </c>
      <c r="V8" s="12" t="str">
        <f>IF(AND(ISNUMBER(Calc_RhV!V8),ISNUMBER(Manual_RhV!V8)),Calc_RhV!V8/Manual_RhV!V8,IF(AND(ISNUMBER(Calc_RhV!V8),NOT(ISNUMBER(Manual_RhV!V8))),"só calc",IF(AND(ISNUMBER(Manual_RhV!V8),NOT(ISNUMBER(Calc_RhV!V8))),"só manual","sem valor")))</f>
        <v>sem valor</v>
      </c>
      <c r="W8" s="12">
        <f>IF(AND(ISNUMBER(Calc_RhV!W8),ISNUMBER(Manual_RhV!W8)),Calc_RhV!W8/Manual_RhV!W8,IF(AND(ISNUMBER(Calc_RhV!W8),NOT(ISNUMBER(Manual_RhV!W8))),"só calc",IF(AND(ISNUMBER(Manual_RhV!W8),NOT(ISNUMBER(Calc_RhV!W8))),"só manual","sem valor")))</f>
        <v>0.66207117665918569</v>
      </c>
      <c r="X8" s="12">
        <f>IF(AND(ISNUMBER(Calc_RhV!X8),ISNUMBER(Manual_RhV!X8)),Calc_RhV!X8/Manual_RhV!X8,IF(AND(ISNUMBER(Calc_RhV!X8),NOT(ISNUMBER(Manual_RhV!X8))),"só calc",IF(AND(ISNUMBER(Manual_RhV!X8),NOT(ISNUMBER(Calc_RhV!X8))),"só manual","sem valor")))</f>
        <v>0.66237567407972242</v>
      </c>
    </row>
    <row r="9" spans="1:24" x14ac:dyDescent="0.25">
      <c r="A9" s="11" t="s">
        <v>52</v>
      </c>
      <c r="B9" s="11" t="str">
        <f>Calc_RhV!B9</f>
        <v>R4</v>
      </c>
      <c r="C9" s="12">
        <f>IF(AND(ISNUMBER(Calc_RhV!C9),ISNUMBER(Manual_RhV!C9)),Calc_RhV!C9/Manual_RhV!C9,IF(AND(ISNUMBER(Calc_RhV!C9),NOT(ISNUMBER(Manual_RhV!C9))),"só calc",IF(AND(ISNUMBER(Manual_RhV!C9),NOT(ISNUMBER(Calc_RhV!C9))),"só manual","sem valor")))</f>
        <v>0.67916461108370318</v>
      </c>
      <c r="D9" s="12">
        <f>IF(AND(ISNUMBER(Calc_RhV!D9),ISNUMBER(Manual_RhV!D9)),Calc_RhV!D9/Manual_RhV!D9,IF(AND(ISNUMBER(Calc_RhV!D9),NOT(ISNUMBER(Manual_RhV!D9))),"só calc",IF(AND(ISNUMBER(Manual_RhV!D9),NOT(ISNUMBER(Calc_RhV!D9))),"só manual","sem valor")))</f>
        <v>0.67976219760713907</v>
      </c>
      <c r="E9" s="12">
        <f>IF(AND(ISNUMBER(Calc_RhV!E9),ISNUMBER(Manual_RhV!E9)),Calc_RhV!E9/Manual_RhV!E9,IF(AND(ISNUMBER(Calc_RhV!E9),NOT(ISNUMBER(Manual_RhV!E9))),"só calc",IF(AND(ISNUMBER(Manual_RhV!E9),NOT(ISNUMBER(Calc_RhV!E9))),"só manual","sem valor")))</f>
        <v>0.67916461108370341</v>
      </c>
      <c r="F9" s="12">
        <f>IF(AND(ISNUMBER(Calc_RhV!F9),ISNUMBER(Manual_RhV!F9)),Calc_RhV!F9/Manual_RhV!F9,IF(AND(ISNUMBER(Calc_RhV!F9),NOT(ISNUMBER(Manual_RhV!F9))),"só calc",IF(AND(ISNUMBER(Manual_RhV!F9),NOT(ISNUMBER(Calc_RhV!F9))),"só manual","sem valor")))</f>
        <v>0.67724591103898246</v>
      </c>
      <c r="G9" s="12">
        <f>IF(AND(ISNUMBER(Calc_RhV!G9),ISNUMBER(Manual_RhV!G9)),Calc_RhV!G9/Manual_RhV!G9,IF(AND(ISNUMBER(Calc_RhV!G9),NOT(ISNUMBER(Manual_RhV!G9))),"só calc",IF(AND(ISNUMBER(Manual_RhV!G9),NOT(ISNUMBER(Calc_RhV!G9))),"só manual","sem valor")))</f>
        <v>0.67916461108370341</v>
      </c>
      <c r="H9" s="12">
        <f>IF(AND(ISNUMBER(Calc_RhV!H9),ISNUMBER(Manual_RhV!H9)),Calc_RhV!H9/Manual_RhV!H9,IF(AND(ISNUMBER(Calc_RhV!H9),NOT(ISNUMBER(Manual_RhV!H9))),"só calc",IF(AND(ISNUMBER(Manual_RhV!H9),NOT(ISNUMBER(Calc_RhV!H9))),"só manual","sem valor")))</f>
        <v>0.67727289196868579</v>
      </c>
      <c r="I9" s="12">
        <f>IF(AND(ISNUMBER(Calc_RhV!I9),ISNUMBER(Manual_RhV!I9)),Calc_RhV!I9/Manual_RhV!I9,IF(AND(ISNUMBER(Calc_RhV!I9),NOT(ISNUMBER(Manual_RhV!I9))),"só calc",IF(AND(ISNUMBER(Manual_RhV!I9),NOT(ISNUMBER(Calc_RhV!I9))),"só manual","sem valor")))</f>
        <v>0.67916461108370318</v>
      </c>
      <c r="J9" s="12">
        <f>IF(AND(ISNUMBER(Calc_RhV!J9),ISNUMBER(Manual_RhV!J9)),Calc_RhV!J9/Manual_RhV!J9,IF(AND(ISNUMBER(Calc_RhV!J9),NOT(ISNUMBER(Manual_RhV!J9))),"só calc",IF(AND(ISNUMBER(Manual_RhV!J9),NOT(ISNUMBER(Calc_RhV!J9))),"só manual","sem valor")))</f>
        <v>0.6792654243700943</v>
      </c>
      <c r="K9" s="12">
        <f>IF(AND(ISNUMBER(Calc_RhV!K9),ISNUMBER(Manual_RhV!K9)),Calc_RhV!K9/Manual_RhV!K9,IF(AND(ISNUMBER(Calc_RhV!K9),NOT(ISNUMBER(Manual_RhV!K9))),"só calc",IF(AND(ISNUMBER(Manual_RhV!K9),NOT(ISNUMBER(Calc_RhV!K9))),"só manual","sem valor")))</f>
        <v>0.67916461108370296</v>
      </c>
      <c r="L9" s="12">
        <f>IF(AND(ISNUMBER(Calc_RhV!L9),ISNUMBER(Manual_RhV!L9)),Calc_RhV!L9/Manual_RhV!L9,IF(AND(ISNUMBER(Calc_RhV!L9),NOT(ISNUMBER(Manual_RhV!L9))),"só calc",IF(AND(ISNUMBER(Manual_RhV!L9),NOT(ISNUMBER(Calc_RhV!L9))),"só manual","sem valor")))</f>
        <v>0.67944051805463557</v>
      </c>
      <c r="M9" s="12">
        <f>IF(AND(ISNUMBER(Calc_RhV!M9),ISNUMBER(Manual_RhV!M9)),Calc_RhV!M9/Manual_RhV!M9,IF(AND(ISNUMBER(Calc_RhV!M9),NOT(ISNUMBER(Manual_RhV!M9))),"só calc",IF(AND(ISNUMBER(Manual_RhV!M9),NOT(ISNUMBER(Calc_RhV!M9))),"só manual","sem valor")))</f>
        <v>0.67916461108370307</v>
      </c>
      <c r="N9" s="12">
        <f>IF(AND(ISNUMBER(Calc_RhV!N9),ISNUMBER(Manual_RhV!N9)),Calc_RhV!N9/Manual_RhV!N9,IF(AND(ISNUMBER(Calc_RhV!N9),NOT(ISNUMBER(Manual_RhV!N9))),"só calc",IF(AND(ISNUMBER(Manual_RhV!N9),NOT(ISNUMBER(Calc_RhV!N9))),"só manual","sem valor")))</f>
        <v>0.67926156706074725</v>
      </c>
      <c r="O9" s="12">
        <f>IF(AND(ISNUMBER(Calc_RhV!O9),ISNUMBER(Manual_RhV!O9)),Calc_RhV!O9/Manual_RhV!O9,IF(AND(ISNUMBER(Calc_RhV!O9),NOT(ISNUMBER(Manual_RhV!O9))),"só calc",IF(AND(ISNUMBER(Manual_RhV!O9),NOT(ISNUMBER(Calc_RhV!O9))),"só manual","sem valor")))</f>
        <v>0.6791646110837033</v>
      </c>
      <c r="P9" s="12">
        <f>IF(AND(ISNUMBER(Calc_RhV!P9),ISNUMBER(Manual_RhV!P9)),Calc_RhV!P9/Manual_RhV!P9,IF(AND(ISNUMBER(Calc_RhV!P9),NOT(ISNUMBER(Manual_RhV!P9))),"só calc",IF(AND(ISNUMBER(Manual_RhV!P9),NOT(ISNUMBER(Calc_RhV!P9))),"só manual","sem valor")))</f>
        <v>0.67835558123378425</v>
      </c>
      <c r="Q9" s="12">
        <f>IF(AND(ISNUMBER(Calc_RhV!Q9),ISNUMBER(Manual_RhV!Q9)),Calc_RhV!Q9/Manual_RhV!Q9,IF(AND(ISNUMBER(Calc_RhV!Q9),NOT(ISNUMBER(Manual_RhV!Q9))),"só calc",IF(AND(ISNUMBER(Manual_RhV!Q9),NOT(ISNUMBER(Calc_RhV!Q9))),"só manual","sem valor")))</f>
        <v>0.67916461108370352</v>
      </c>
      <c r="R9" s="12">
        <f>IF(AND(ISNUMBER(Calc_RhV!R9),ISNUMBER(Manual_RhV!R9)),Calc_RhV!R9/Manual_RhV!R9,IF(AND(ISNUMBER(Calc_RhV!R9),NOT(ISNUMBER(Manual_RhV!R9))),"só calc",IF(AND(ISNUMBER(Manual_RhV!R9),NOT(ISNUMBER(Calc_RhV!R9))),"só manual","sem valor")))</f>
        <v>0.67917482040457477</v>
      </c>
      <c r="S9" s="12">
        <f>IF(AND(ISNUMBER(Calc_RhV!S9),ISNUMBER(Manual_RhV!S9)),Calc_RhV!S9/Manual_RhV!S9,IF(AND(ISNUMBER(Calc_RhV!S9),NOT(ISNUMBER(Manual_RhV!S9))),"só calc",IF(AND(ISNUMBER(Manual_RhV!S9),NOT(ISNUMBER(Calc_RhV!S9))),"só manual","sem valor")))</f>
        <v>0.6791646110837033</v>
      </c>
      <c r="T9" s="12">
        <f>IF(AND(ISNUMBER(Calc_RhV!T9),ISNUMBER(Manual_RhV!T9)),Calc_RhV!T9/Manual_RhV!T9,IF(AND(ISNUMBER(Calc_RhV!T9),NOT(ISNUMBER(Manual_RhV!T9))),"só calc",IF(AND(ISNUMBER(Manual_RhV!T9),NOT(ISNUMBER(Calc_RhV!T9))),"só manual","sem valor")))</f>
        <v>0.68065791139297194</v>
      </c>
      <c r="U9" s="12" t="str">
        <f>IF(AND(ISNUMBER(Calc_RhV!U9),ISNUMBER(Manual_RhV!U9)),Calc_RhV!U9/Manual_RhV!U9,IF(AND(ISNUMBER(Calc_RhV!U9),NOT(ISNUMBER(Manual_RhV!U9))),"só calc",IF(AND(ISNUMBER(Manual_RhV!U9),NOT(ISNUMBER(Calc_RhV!U9))),"só manual","sem valor")))</f>
        <v>sem valor</v>
      </c>
      <c r="V9" s="12" t="str">
        <f>IF(AND(ISNUMBER(Calc_RhV!V9),ISNUMBER(Manual_RhV!V9)),Calc_RhV!V9/Manual_RhV!V9,IF(AND(ISNUMBER(Calc_RhV!V9),NOT(ISNUMBER(Manual_RhV!V9))),"só calc",IF(AND(ISNUMBER(Manual_RhV!V9),NOT(ISNUMBER(Calc_RhV!V9))),"só manual","sem valor")))</f>
        <v>sem valor</v>
      </c>
      <c r="W9" s="12">
        <f>IF(AND(ISNUMBER(Calc_RhV!W9),ISNUMBER(Manual_RhV!W9)),Calc_RhV!W9/Manual_RhV!W9,IF(AND(ISNUMBER(Calc_RhV!W9),NOT(ISNUMBER(Manual_RhV!W9))),"só calc",IF(AND(ISNUMBER(Manual_RhV!W9),NOT(ISNUMBER(Calc_RhV!W9))),"só manual","sem valor")))</f>
        <v>0.67916461108370352</v>
      </c>
      <c r="X9" s="12">
        <f>IF(AND(ISNUMBER(Calc_RhV!X9),ISNUMBER(Manual_RhV!X9)),Calc_RhV!X9/Manual_RhV!X9,IF(AND(ISNUMBER(Calc_RhV!X9),NOT(ISNUMBER(Manual_RhV!X9))),"só calc",IF(AND(ISNUMBER(Manual_RhV!X9),NOT(ISNUMBER(Calc_RhV!X9))),"só manual","sem valor")))</f>
        <v>0.68024770852453798</v>
      </c>
    </row>
    <row r="10" spans="1:24" x14ac:dyDescent="0.25">
      <c r="A10" s="11" t="s">
        <v>53</v>
      </c>
      <c r="B10" s="11" t="str">
        <f>Calc_RhV!B10</f>
        <v>R5</v>
      </c>
      <c r="C10" s="12">
        <f>IF(AND(ISNUMBER(Calc_RhV!C10),ISNUMBER(Manual_RhV!C10)),Calc_RhV!C10/Manual_RhV!C10,IF(AND(ISNUMBER(Calc_RhV!C10),NOT(ISNUMBER(Manual_RhV!C10))),"só calc",IF(AND(ISNUMBER(Manual_RhV!C10),NOT(ISNUMBER(Calc_RhV!C10))),"só manual","sem valor")))</f>
        <v>0.74334053275737955</v>
      </c>
      <c r="D10" s="12">
        <f>IF(AND(ISNUMBER(Calc_RhV!D10),ISNUMBER(Manual_RhV!D10)),Calc_RhV!D10/Manual_RhV!D10,IF(AND(ISNUMBER(Calc_RhV!D10),NOT(ISNUMBER(Manual_RhV!D10))),"só calc",IF(AND(ISNUMBER(Manual_RhV!D10),NOT(ISNUMBER(Calc_RhV!D10))),"só manual","sem valor")))</f>
        <v>0.74328572414457283</v>
      </c>
      <c r="E10" s="12">
        <f>IF(AND(ISNUMBER(Calc_RhV!E10),ISNUMBER(Manual_RhV!E10)),Calc_RhV!E10/Manual_RhV!E10,IF(AND(ISNUMBER(Calc_RhV!E10),NOT(ISNUMBER(Manual_RhV!E10))),"só calc",IF(AND(ISNUMBER(Manual_RhV!E10),NOT(ISNUMBER(Calc_RhV!E10))),"só manual","sem valor")))</f>
        <v>0.74334053275737932</v>
      </c>
      <c r="F10" s="12">
        <f>IF(AND(ISNUMBER(Calc_RhV!F10),ISNUMBER(Manual_RhV!F10)),Calc_RhV!F10/Manual_RhV!F10,IF(AND(ISNUMBER(Calc_RhV!F10),NOT(ISNUMBER(Manual_RhV!F10))),"só calc",IF(AND(ISNUMBER(Manual_RhV!F10),NOT(ISNUMBER(Calc_RhV!F10))),"só manual","sem valor")))</f>
        <v>0.74503209276152826</v>
      </c>
      <c r="G10" s="12">
        <f>IF(AND(ISNUMBER(Calc_RhV!G10),ISNUMBER(Manual_RhV!G10)),Calc_RhV!G10/Manual_RhV!G10,IF(AND(ISNUMBER(Calc_RhV!G10),NOT(ISNUMBER(Manual_RhV!G10))),"só calc",IF(AND(ISNUMBER(Manual_RhV!G10),NOT(ISNUMBER(Calc_RhV!G10))),"só manual","sem valor")))</f>
        <v>0.7433405327573791</v>
      </c>
      <c r="H10" s="12">
        <f>IF(AND(ISNUMBER(Calc_RhV!H10),ISNUMBER(Manual_RhV!H10)),Calc_RhV!H10/Manual_RhV!H10,IF(AND(ISNUMBER(Calc_RhV!H10),NOT(ISNUMBER(Manual_RhV!H10))),"só calc",IF(AND(ISNUMBER(Manual_RhV!H10),NOT(ISNUMBER(Calc_RhV!H10))),"só manual","sem valor")))</f>
        <v>0.74501472579271477</v>
      </c>
      <c r="I10" s="12">
        <f>IF(AND(ISNUMBER(Calc_RhV!I10),ISNUMBER(Manual_RhV!I10)),Calc_RhV!I10/Manual_RhV!I10,IF(AND(ISNUMBER(Calc_RhV!I10),NOT(ISNUMBER(Manual_RhV!I10))),"só calc",IF(AND(ISNUMBER(Manual_RhV!I10),NOT(ISNUMBER(Calc_RhV!I10))),"só manual","sem valor")))</f>
        <v>0.74334053275737944</v>
      </c>
      <c r="J10" s="12">
        <f>IF(AND(ISNUMBER(Calc_RhV!J10),ISNUMBER(Manual_RhV!J10)),Calc_RhV!J10/Manual_RhV!J10,IF(AND(ISNUMBER(Calc_RhV!J10),NOT(ISNUMBER(Manual_RhV!J10))),"só calc",IF(AND(ISNUMBER(Manual_RhV!J10),NOT(ISNUMBER(Calc_RhV!J10))),"só manual","sem valor")))</f>
        <v>0.74341604506440429</v>
      </c>
      <c r="K10" s="12">
        <f>IF(AND(ISNUMBER(Calc_RhV!K10),ISNUMBER(Manual_RhV!K10)),Calc_RhV!K10/Manual_RhV!K10,IF(AND(ISNUMBER(Calc_RhV!K10),NOT(ISNUMBER(Manual_RhV!K10))),"só calc",IF(AND(ISNUMBER(Manual_RhV!K10),NOT(ISNUMBER(Calc_RhV!K10))),"só manual","sem valor")))</f>
        <v>0.74334053275737944</v>
      </c>
      <c r="L10" s="12">
        <f>IF(AND(ISNUMBER(Calc_RhV!L10),ISNUMBER(Manual_RhV!L10)),Calc_RhV!L10/Manual_RhV!L10,IF(AND(ISNUMBER(Calc_RhV!L10),NOT(ISNUMBER(Manual_RhV!L10))),"só calc",IF(AND(ISNUMBER(Manual_RhV!L10),NOT(ISNUMBER(Calc_RhV!L10))),"só manual","sem valor")))</f>
        <v>0.74389407007396902</v>
      </c>
      <c r="M10" s="12">
        <f>IF(AND(ISNUMBER(Calc_RhV!M10),ISNUMBER(Manual_RhV!M10)),Calc_RhV!M10/Manual_RhV!M10,IF(AND(ISNUMBER(Calc_RhV!M10),NOT(ISNUMBER(Manual_RhV!M10))),"só calc",IF(AND(ISNUMBER(Manual_RhV!M10),NOT(ISNUMBER(Calc_RhV!M10))),"só manual","sem valor")))</f>
        <v>0.74334053275737932</v>
      </c>
      <c r="N10" s="12">
        <f>IF(AND(ISNUMBER(Calc_RhV!N10),ISNUMBER(Manual_RhV!N10)),Calc_RhV!N10/Manual_RhV!N10,IF(AND(ISNUMBER(Calc_RhV!N10),NOT(ISNUMBER(Manual_RhV!N10))),"só calc",IF(AND(ISNUMBER(Manual_RhV!N10),NOT(ISNUMBER(Calc_RhV!N10))),"só manual","sem valor")))</f>
        <v>0.74370340937997481</v>
      </c>
      <c r="O10" s="12">
        <f>IF(AND(ISNUMBER(Calc_RhV!O10),ISNUMBER(Manual_RhV!O10)),Calc_RhV!O10/Manual_RhV!O10,IF(AND(ISNUMBER(Calc_RhV!O10),NOT(ISNUMBER(Manual_RhV!O10))),"só calc",IF(AND(ISNUMBER(Manual_RhV!O10),NOT(ISNUMBER(Calc_RhV!O10))),"só manual","sem valor")))</f>
        <v>0.74334053275737966</v>
      </c>
      <c r="P10" s="12">
        <f>IF(AND(ISNUMBER(Calc_RhV!P10),ISNUMBER(Manual_RhV!P10)),Calc_RhV!P10/Manual_RhV!P10,IF(AND(ISNUMBER(Calc_RhV!P10),NOT(ISNUMBER(Manual_RhV!P10))),"só calc",IF(AND(ISNUMBER(Manual_RhV!P10),NOT(ISNUMBER(Calc_RhV!P10))),"só manual","sem valor")))</f>
        <v>0.74417360886030015</v>
      </c>
      <c r="Q10" s="12">
        <f>IF(AND(ISNUMBER(Calc_RhV!Q10),ISNUMBER(Manual_RhV!Q10)),Calc_RhV!Q10/Manual_RhV!Q10,IF(AND(ISNUMBER(Calc_RhV!Q10),NOT(ISNUMBER(Manual_RhV!Q10))),"só calc",IF(AND(ISNUMBER(Manual_RhV!Q10),NOT(ISNUMBER(Calc_RhV!Q10))),"só manual","sem valor")))</f>
        <v>0.74334053275737932</v>
      </c>
      <c r="R10" s="12">
        <f>IF(AND(ISNUMBER(Calc_RhV!R10),ISNUMBER(Manual_RhV!R10)),Calc_RhV!R10/Manual_RhV!R10,IF(AND(ISNUMBER(Calc_RhV!R10),NOT(ISNUMBER(Manual_RhV!R10))),"só calc",IF(AND(ISNUMBER(Manual_RhV!R10),NOT(ISNUMBER(Calc_RhV!R10))),"só manual","sem valor")))</f>
        <v>0.7433350524213308</v>
      </c>
      <c r="S10" s="12">
        <f>IF(AND(ISNUMBER(Calc_RhV!S10),ISNUMBER(Manual_RhV!S10)),Calc_RhV!S10/Manual_RhV!S10,IF(AND(ISNUMBER(Calc_RhV!S10),NOT(ISNUMBER(Manual_RhV!S10))),"só calc",IF(AND(ISNUMBER(Manual_RhV!S10),NOT(ISNUMBER(Calc_RhV!S10))),"só manual","sem valor")))</f>
        <v>0.74334053275737988</v>
      </c>
      <c r="T10" s="12">
        <f>IF(AND(ISNUMBER(Calc_RhV!T10),ISNUMBER(Manual_RhV!T10)),Calc_RhV!T10/Manual_RhV!T10,IF(AND(ISNUMBER(Calc_RhV!T10),NOT(ISNUMBER(Manual_RhV!T10))),"só calc",IF(AND(ISNUMBER(Manual_RhV!T10),NOT(ISNUMBER(Calc_RhV!T10))),"só manual","sem valor")))</f>
        <v>0.74294762261113023</v>
      </c>
      <c r="U10" s="12" t="str">
        <f>IF(AND(ISNUMBER(Calc_RhV!U10),ISNUMBER(Manual_RhV!U10)),Calc_RhV!U10/Manual_RhV!U10,IF(AND(ISNUMBER(Calc_RhV!U10),NOT(ISNUMBER(Manual_RhV!U10))),"só calc",IF(AND(ISNUMBER(Manual_RhV!U10),NOT(ISNUMBER(Calc_RhV!U10))),"só manual","sem valor")))</f>
        <v>sem valor</v>
      </c>
      <c r="V10" s="12" t="str">
        <f>IF(AND(ISNUMBER(Calc_RhV!V10),ISNUMBER(Manual_RhV!V10)),Calc_RhV!V10/Manual_RhV!V10,IF(AND(ISNUMBER(Calc_RhV!V10),NOT(ISNUMBER(Manual_RhV!V10))),"só calc",IF(AND(ISNUMBER(Manual_RhV!V10),NOT(ISNUMBER(Calc_RhV!V10))),"só manual","sem valor")))</f>
        <v>sem valor</v>
      </c>
      <c r="W10" s="12">
        <f>IF(AND(ISNUMBER(Calc_RhV!W10),ISNUMBER(Manual_RhV!W10)),Calc_RhV!W10/Manual_RhV!W10,IF(AND(ISNUMBER(Calc_RhV!W10),NOT(ISNUMBER(Manual_RhV!W10))),"só calc",IF(AND(ISNUMBER(Manual_RhV!W10),NOT(ISNUMBER(Calc_RhV!W10))),"só manual","sem valor")))</f>
        <v>0.74334053275737944</v>
      </c>
      <c r="X10" s="12">
        <f>IF(AND(ISNUMBER(Calc_RhV!X10),ISNUMBER(Manual_RhV!X10)),Calc_RhV!X10/Manual_RhV!X10,IF(AND(ISNUMBER(Calc_RhV!X10),NOT(ISNUMBER(Manual_RhV!X10))),"só calc",IF(AND(ISNUMBER(Manual_RhV!X10),NOT(ISNUMBER(Calc_RhV!X10))),"só manual","sem valor")))</f>
        <v>0.74259331620944191</v>
      </c>
    </row>
    <row r="11" spans="1:24" x14ac:dyDescent="0.25">
      <c r="A11" s="11" t="s">
        <v>54</v>
      </c>
      <c r="B11" s="11" t="str">
        <f>Calc_RhV!B11</f>
        <v>R6</v>
      </c>
      <c r="C11" s="12">
        <f>IF(AND(ISNUMBER(Calc_RhV!C11),ISNUMBER(Manual_RhV!C11)),Calc_RhV!C11/Manual_RhV!C11,IF(AND(ISNUMBER(Calc_RhV!C11),NOT(ISNUMBER(Manual_RhV!C11))),"só calc",IF(AND(ISNUMBER(Manual_RhV!C11),NOT(ISNUMBER(Calc_RhV!C11))),"só manual","sem valor")))</f>
        <v>0.56894889103182233</v>
      </c>
      <c r="D11" s="12">
        <f>IF(AND(ISNUMBER(Calc_RhV!D11),ISNUMBER(Manual_RhV!D11)),Calc_RhV!D11/Manual_RhV!D11,IF(AND(ISNUMBER(Calc_RhV!D11),NOT(ISNUMBER(Manual_RhV!D11))),"só calc",IF(AND(ISNUMBER(Manual_RhV!D11),NOT(ISNUMBER(Calc_RhV!D11))),"só manual","sem valor")))</f>
        <v>0.56458886510547157</v>
      </c>
      <c r="E11" s="12">
        <f>IF(AND(ISNUMBER(Calc_RhV!E11),ISNUMBER(Manual_RhV!E11)),Calc_RhV!E11/Manual_RhV!E11,IF(AND(ISNUMBER(Calc_RhV!E11),NOT(ISNUMBER(Manual_RhV!E11))),"só calc",IF(AND(ISNUMBER(Manual_RhV!E11),NOT(ISNUMBER(Calc_RhV!E11))),"só manual","sem valor")))</f>
        <v>0.56894889103182256</v>
      </c>
      <c r="F11" s="12">
        <f>IF(AND(ISNUMBER(Calc_RhV!F11),ISNUMBER(Manual_RhV!F11)),Calc_RhV!F11/Manual_RhV!F11,IF(AND(ISNUMBER(Calc_RhV!F11),NOT(ISNUMBER(Manual_RhV!F11))),"só calc",IF(AND(ISNUMBER(Manual_RhV!F11),NOT(ISNUMBER(Calc_RhV!F11))),"só manual","sem valor")))</f>
        <v>0.56939410979090588</v>
      </c>
      <c r="G11" s="12">
        <f>IF(AND(ISNUMBER(Calc_RhV!G11),ISNUMBER(Manual_RhV!G11)),Calc_RhV!G11/Manual_RhV!G11,IF(AND(ISNUMBER(Calc_RhV!G11),NOT(ISNUMBER(Manual_RhV!G11))),"só calc",IF(AND(ISNUMBER(Manual_RhV!G11),NOT(ISNUMBER(Calc_RhV!G11))),"só manual","sem valor")))</f>
        <v>0.56894889103182278</v>
      </c>
      <c r="H11" s="12">
        <f>IF(AND(ISNUMBER(Calc_RhV!H11),ISNUMBER(Manual_RhV!H11)),Calc_RhV!H11/Manual_RhV!H11,IF(AND(ISNUMBER(Calc_RhV!H11),NOT(ISNUMBER(Manual_RhV!H11))),"só calc",IF(AND(ISNUMBER(Manual_RhV!H11),NOT(ISNUMBER(Calc_RhV!H11))),"só manual","sem valor")))</f>
        <v>0.56748642819972339</v>
      </c>
      <c r="I11" s="12">
        <f>IF(AND(ISNUMBER(Calc_RhV!I11),ISNUMBER(Manual_RhV!I11)),Calc_RhV!I11/Manual_RhV!I11,IF(AND(ISNUMBER(Calc_RhV!I11),NOT(ISNUMBER(Manual_RhV!I11))),"só calc",IF(AND(ISNUMBER(Manual_RhV!I11),NOT(ISNUMBER(Calc_RhV!I11))),"só manual","sem valor")))</f>
        <v>0.56894889103182245</v>
      </c>
      <c r="J11" s="12">
        <f>IF(AND(ISNUMBER(Calc_RhV!J11),ISNUMBER(Manual_RhV!J11)),Calc_RhV!J11/Manual_RhV!J11,IF(AND(ISNUMBER(Calc_RhV!J11),NOT(ISNUMBER(Manual_RhV!J11))),"só calc",IF(AND(ISNUMBER(Manual_RhV!J11),NOT(ISNUMBER(Calc_RhV!J11))),"só manual","sem valor")))</f>
        <v>0.56902249812948891</v>
      </c>
      <c r="K11" s="12">
        <f>IF(AND(ISNUMBER(Calc_RhV!K11),ISNUMBER(Manual_RhV!K11)),Calc_RhV!K11/Manual_RhV!K11,IF(AND(ISNUMBER(Calc_RhV!K11),NOT(ISNUMBER(Manual_RhV!K11))),"só calc",IF(AND(ISNUMBER(Manual_RhV!K11),NOT(ISNUMBER(Calc_RhV!K11))),"só manual","sem valor")))</f>
        <v>0.56894889103182267</v>
      </c>
      <c r="L11" s="12">
        <f>IF(AND(ISNUMBER(Calc_RhV!L11),ISNUMBER(Manual_RhV!L11)),Calc_RhV!L11/Manual_RhV!L11,IF(AND(ISNUMBER(Calc_RhV!L11),NOT(ISNUMBER(Manual_RhV!L11))),"só calc",IF(AND(ISNUMBER(Manual_RhV!L11),NOT(ISNUMBER(Calc_RhV!L11))),"só manual","sem valor")))</f>
        <v>0.56929709891706848</v>
      </c>
      <c r="M11" s="12">
        <f>IF(AND(ISNUMBER(Calc_RhV!M11),ISNUMBER(Manual_RhV!M11)),Calc_RhV!M11/Manual_RhV!M11,IF(AND(ISNUMBER(Calc_RhV!M11),NOT(ISNUMBER(Manual_RhV!M11))),"só calc",IF(AND(ISNUMBER(Manual_RhV!M11),NOT(ISNUMBER(Calc_RhV!M11))),"só manual","sem valor")))</f>
        <v>0.56894889103182267</v>
      </c>
      <c r="N11" s="12">
        <f>IF(AND(ISNUMBER(Calc_RhV!N11),ISNUMBER(Manual_RhV!N11)),Calc_RhV!N11/Manual_RhV!N11,IF(AND(ISNUMBER(Calc_RhV!N11),NOT(ISNUMBER(Manual_RhV!N11))),"só calc",IF(AND(ISNUMBER(Manual_RhV!N11),NOT(ISNUMBER(Calc_RhV!N11))),"só manual","sem valor")))</f>
        <v>0.56962907421736741</v>
      </c>
      <c r="O11" s="12">
        <f>IF(AND(ISNUMBER(Calc_RhV!O11),ISNUMBER(Manual_RhV!O11)),Calc_RhV!O11/Manual_RhV!O11,IF(AND(ISNUMBER(Calc_RhV!O11),NOT(ISNUMBER(Manual_RhV!O11))),"só calc",IF(AND(ISNUMBER(Manual_RhV!O11),NOT(ISNUMBER(Calc_RhV!O11))),"só manual","sem valor")))</f>
        <v>0.56894889103182289</v>
      </c>
      <c r="P11" s="12">
        <f>IF(AND(ISNUMBER(Calc_RhV!P11),ISNUMBER(Manual_RhV!P11)),Calc_RhV!P11/Manual_RhV!P11,IF(AND(ISNUMBER(Calc_RhV!P11),NOT(ISNUMBER(Manual_RhV!P11))),"só calc",IF(AND(ISNUMBER(Manual_RhV!P11),NOT(ISNUMBER(Calc_RhV!P11))),"só manual","sem valor")))</f>
        <v>0.56886896531845743</v>
      </c>
      <c r="Q11" s="12">
        <f>IF(AND(ISNUMBER(Calc_RhV!Q11),ISNUMBER(Manual_RhV!Q11)),Calc_RhV!Q11/Manual_RhV!Q11,IF(AND(ISNUMBER(Calc_RhV!Q11),NOT(ISNUMBER(Manual_RhV!Q11))),"só calc",IF(AND(ISNUMBER(Manual_RhV!Q11),NOT(ISNUMBER(Calc_RhV!Q11))),"só manual","sem valor")))</f>
        <v>0.56894889103182256</v>
      </c>
      <c r="R11" s="12">
        <f>IF(AND(ISNUMBER(Calc_RhV!R11),ISNUMBER(Manual_RhV!R11)),Calc_RhV!R11/Manual_RhV!R11,IF(AND(ISNUMBER(Calc_RhV!R11),NOT(ISNUMBER(Manual_RhV!R11))),"só calc",IF(AND(ISNUMBER(Manual_RhV!R11),NOT(ISNUMBER(Calc_RhV!R11))),"só manual","sem valor")))</f>
        <v>0.56895039280473791</v>
      </c>
      <c r="S11" s="12">
        <f>IF(AND(ISNUMBER(Calc_RhV!S11),ISNUMBER(Manual_RhV!S11)),Calc_RhV!S11/Manual_RhV!S11,IF(AND(ISNUMBER(Calc_RhV!S11),NOT(ISNUMBER(Manual_RhV!S11))),"só calc",IF(AND(ISNUMBER(Manual_RhV!S11),NOT(ISNUMBER(Calc_RhV!S11))),"só manual","sem valor")))</f>
        <v>0.56894889103182245</v>
      </c>
      <c r="T11" s="12">
        <f>IF(AND(ISNUMBER(Calc_RhV!T11),ISNUMBER(Manual_RhV!T11)),Calc_RhV!T11/Manual_RhV!T11,IF(AND(ISNUMBER(Calc_RhV!T11),NOT(ISNUMBER(Manual_RhV!T11))),"só calc",IF(AND(ISNUMBER(Manual_RhV!T11),NOT(ISNUMBER(Calc_RhV!T11))),"só manual","sem valor")))</f>
        <v>0.57019608731781823</v>
      </c>
      <c r="U11" s="12">
        <f>IF(AND(ISNUMBER(Calc_RhV!U11),ISNUMBER(Manual_RhV!U11)),Calc_RhV!U11/Manual_RhV!U11,IF(AND(ISNUMBER(Calc_RhV!U11),NOT(ISNUMBER(Manual_RhV!U11))),"só calc",IF(AND(ISNUMBER(Manual_RhV!U11),NOT(ISNUMBER(Calc_RhV!U11))),"só manual","sem valor")))</f>
        <v>0.56894889103182256</v>
      </c>
      <c r="V11" s="12">
        <f>IF(AND(ISNUMBER(Calc_RhV!V11),ISNUMBER(Manual_RhV!V11)),Calc_RhV!V11/Manual_RhV!V11,IF(AND(ISNUMBER(Calc_RhV!V11),NOT(ISNUMBER(Manual_RhV!V11))),"só calc",IF(AND(ISNUMBER(Manual_RhV!V11),NOT(ISNUMBER(Calc_RhV!V11))),"só manual","sem valor")))</f>
        <v>0.5692412094484961</v>
      </c>
      <c r="W11" s="12">
        <f>IF(AND(ISNUMBER(Calc_RhV!W11),ISNUMBER(Manual_RhV!W11)),Calc_RhV!W11/Manual_RhV!W11,IF(AND(ISNUMBER(Calc_RhV!W11),NOT(ISNUMBER(Manual_RhV!W11))),"só calc",IF(AND(ISNUMBER(Manual_RhV!W11),NOT(ISNUMBER(Calc_RhV!W11))),"só manual","sem valor")))</f>
        <v>0.56894889103182267</v>
      </c>
      <c r="X11" s="12">
        <f>IF(AND(ISNUMBER(Calc_RhV!X11),ISNUMBER(Manual_RhV!X11)),Calc_RhV!X11/Manual_RhV!X11,IF(AND(ISNUMBER(Calc_RhV!X11),NOT(ISNUMBER(Manual_RhV!X11))),"só calc",IF(AND(ISNUMBER(Manual_RhV!X11),NOT(ISNUMBER(Calc_RhV!X11))),"só manual","sem valor")))</f>
        <v>0.56827235019727784</v>
      </c>
    </row>
    <row r="12" spans="1:24" x14ac:dyDescent="0.25">
      <c r="A12" s="11" t="s">
        <v>55</v>
      </c>
      <c r="B12" s="11" t="str">
        <f>Calc_RhV!B12</f>
        <v>R7</v>
      </c>
      <c r="C12" s="12">
        <f>IF(AND(ISNUMBER(Calc_RhV!C12),ISNUMBER(Manual_RhV!C12)),Calc_RhV!C12/Manual_RhV!C12,IF(AND(ISNUMBER(Calc_RhV!C12),NOT(ISNUMBER(Manual_RhV!C12))),"só calc",IF(AND(ISNUMBER(Manual_RhV!C12),NOT(ISNUMBER(Calc_RhV!C12))),"só manual","sem valor")))</f>
        <v>0.70986593331041581</v>
      </c>
      <c r="D12" s="12">
        <f>IF(AND(ISNUMBER(Calc_RhV!D12),ISNUMBER(Manual_RhV!D12)),Calc_RhV!D12/Manual_RhV!D12,IF(AND(ISNUMBER(Calc_RhV!D12),NOT(ISNUMBER(Manual_RhV!D12))),"só calc",IF(AND(ISNUMBER(Manual_RhV!D12),NOT(ISNUMBER(Calc_RhV!D12))),"só manual","sem valor")))</f>
        <v>0.71139266053442884</v>
      </c>
      <c r="E12" s="12">
        <f>IF(AND(ISNUMBER(Calc_RhV!E12),ISNUMBER(Manual_RhV!E12)),Calc_RhV!E12/Manual_RhV!E12,IF(AND(ISNUMBER(Calc_RhV!E12),NOT(ISNUMBER(Manual_RhV!E12))),"só calc",IF(AND(ISNUMBER(Manual_RhV!E12),NOT(ISNUMBER(Calc_RhV!E12))),"só manual","sem valor")))</f>
        <v>0.70986593331041581</v>
      </c>
      <c r="F12" s="12">
        <f>IF(AND(ISNUMBER(Calc_RhV!F12),ISNUMBER(Manual_RhV!F12)),Calc_RhV!F12/Manual_RhV!F12,IF(AND(ISNUMBER(Calc_RhV!F12),NOT(ISNUMBER(Manual_RhV!F12))),"só calc",IF(AND(ISNUMBER(Manual_RhV!F12),NOT(ISNUMBER(Calc_RhV!F12))),"só manual","sem valor")))</f>
        <v>0.71378162337655449</v>
      </c>
      <c r="G12" s="12">
        <f>IF(AND(ISNUMBER(Calc_RhV!G12),ISNUMBER(Manual_RhV!G12)),Calc_RhV!G12/Manual_RhV!G12,IF(AND(ISNUMBER(Calc_RhV!G12),NOT(ISNUMBER(Manual_RhV!G12))),"só calc",IF(AND(ISNUMBER(Manual_RhV!G12),NOT(ISNUMBER(Calc_RhV!G12))),"só manual","sem valor")))</f>
        <v>0.70986593331041592</v>
      </c>
      <c r="H12" s="12">
        <f>IF(AND(ISNUMBER(Calc_RhV!H12),ISNUMBER(Manual_RhV!H12)),Calc_RhV!H12/Manual_RhV!H12,IF(AND(ISNUMBER(Calc_RhV!H12),NOT(ISNUMBER(Manual_RhV!H12))),"só calc",IF(AND(ISNUMBER(Manual_RhV!H12),NOT(ISNUMBER(Calc_RhV!H12))),"só manual","sem valor")))</f>
        <v>0.7095892540086205</v>
      </c>
      <c r="I12" s="12">
        <f>IF(AND(ISNUMBER(Calc_RhV!I12),ISNUMBER(Manual_RhV!I12)),Calc_RhV!I12/Manual_RhV!I12,IF(AND(ISNUMBER(Calc_RhV!I12),NOT(ISNUMBER(Manual_RhV!I12))),"só calc",IF(AND(ISNUMBER(Manual_RhV!I12),NOT(ISNUMBER(Calc_RhV!I12))),"só manual","sem valor")))</f>
        <v>0.70986593331041592</v>
      </c>
      <c r="J12" s="12">
        <f>IF(AND(ISNUMBER(Calc_RhV!J12),ISNUMBER(Manual_RhV!J12)),Calc_RhV!J12/Manual_RhV!J12,IF(AND(ISNUMBER(Calc_RhV!J12),NOT(ISNUMBER(Manual_RhV!J12))),"só calc",IF(AND(ISNUMBER(Manual_RhV!J12),NOT(ISNUMBER(Calc_RhV!J12))),"só manual","sem valor")))</f>
        <v>0.70991278697014448</v>
      </c>
      <c r="K12" s="12">
        <f>IF(AND(ISNUMBER(Calc_RhV!K12),ISNUMBER(Manual_RhV!K12)),Calc_RhV!K12/Manual_RhV!K12,IF(AND(ISNUMBER(Calc_RhV!K12),NOT(ISNUMBER(Manual_RhV!K12))),"só calc",IF(AND(ISNUMBER(Manual_RhV!K12),NOT(ISNUMBER(Calc_RhV!K12))),"só manual","sem valor")))</f>
        <v>0.70986593331041603</v>
      </c>
      <c r="L12" s="12">
        <f>IF(AND(ISNUMBER(Calc_RhV!L12),ISNUMBER(Manual_RhV!L12)),Calc_RhV!L12/Manual_RhV!L12,IF(AND(ISNUMBER(Calc_RhV!L12),NOT(ISNUMBER(Manual_RhV!L12))),"só calc",IF(AND(ISNUMBER(Manual_RhV!L12),NOT(ISNUMBER(Calc_RhV!L12))),"só manual","sem valor")))</f>
        <v>0.70887862599970475</v>
      </c>
      <c r="M12" s="12">
        <f>IF(AND(ISNUMBER(Calc_RhV!M12),ISNUMBER(Manual_RhV!M12)),Calc_RhV!M12/Manual_RhV!M12,IF(AND(ISNUMBER(Calc_RhV!M12),NOT(ISNUMBER(Manual_RhV!M12))),"só calc",IF(AND(ISNUMBER(Manual_RhV!M12),NOT(ISNUMBER(Calc_RhV!M12))),"só manual","sem valor")))</f>
        <v>0.70986593331041581</v>
      </c>
      <c r="N12" s="12">
        <f>IF(AND(ISNUMBER(Calc_RhV!N12),ISNUMBER(Manual_RhV!N12)),Calc_RhV!N12/Manual_RhV!N12,IF(AND(ISNUMBER(Calc_RhV!N12),NOT(ISNUMBER(Manual_RhV!N12))),"só calc",IF(AND(ISNUMBER(Manual_RhV!N12),NOT(ISNUMBER(Calc_RhV!N12))),"só manual","sem valor")))</f>
        <v>0.71021892333720171</v>
      </c>
      <c r="O12" s="12">
        <f>IF(AND(ISNUMBER(Calc_RhV!O12),ISNUMBER(Manual_RhV!O12)),Calc_RhV!O12/Manual_RhV!O12,IF(AND(ISNUMBER(Calc_RhV!O12),NOT(ISNUMBER(Manual_RhV!O12))),"só calc",IF(AND(ISNUMBER(Manual_RhV!O12),NOT(ISNUMBER(Calc_RhV!O12))),"só manual","sem valor")))</f>
        <v>0.70986593331041592</v>
      </c>
      <c r="P12" s="12">
        <f>IF(AND(ISNUMBER(Calc_RhV!P12),ISNUMBER(Manual_RhV!P12)),Calc_RhV!P12/Manual_RhV!P12,IF(AND(ISNUMBER(Calc_RhV!P12),NOT(ISNUMBER(Manual_RhV!P12))),"só calc",IF(AND(ISNUMBER(Manual_RhV!P12),NOT(ISNUMBER(Calc_RhV!P12))),"só manual","sem valor")))</f>
        <v>0.70933957833035144</v>
      </c>
      <c r="Q12" s="12">
        <f>IF(AND(ISNUMBER(Calc_RhV!Q12),ISNUMBER(Manual_RhV!Q12)),Calc_RhV!Q12/Manual_RhV!Q12,IF(AND(ISNUMBER(Calc_RhV!Q12),NOT(ISNUMBER(Manual_RhV!Q12))),"só calc",IF(AND(ISNUMBER(Manual_RhV!Q12),NOT(ISNUMBER(Calc_RhV!Q12))),"só manual","sem valor")))</f>
        <v>0.70986593331041592</v>
      </c>
      <c r="R12" s="12">
        <f>IF(AND(ISNUMBER(Calc_RhV!R12),ISNUMBER(Manual_RhV!R12)),Calc_RhV!R12/Manual_RhV!R12,IF(AND(ISNUMBER(Calc_RhV!R12),NOT(ISNUMBER(Manual_RhV!R12))),"só calc",IF(AND(ISNUMBER(Manual_RhV!R12),NOT(ISNUMBER(Calc_RhV!R12))),"só manual","sem valor")))</f>
        <v>0.70985328101531131</v>
      </c>
      <c r="S12" s="12">
        <f>IF(AND(ISNUMBER(Calc_RhV!S12),ISNUMBER(Manual_RhV!S12)),Calc_RhV!S12/Manual_RhV!S12,IF(AND(ISNUMBER(Calc_RhV!S12),NOT(ISNUMBER(Manual_RhV!S12))),"só calc",IF(AND(ISNUMBER(Manual_RhV!S12),NOT(ISNUMBER(Calc_RhV!S12))),"só manual","sem valor")))</f>
        <v>0.70986593331041603</v>
      </c>
      <c r="T12" s="12">
        <f>IF(AND(ISNUMBER(Calc_RhV!T12),ISNUMBER(Manual_RhV!T12)),Calc_RhV!T12/Manual_RhV!T12,IF(AND(ISNUMBER(Calc_RhV!T12),NOT(ISNUMBER(Manual_RhV!T12))),"só calc",IF(AND(ISNUMBER(Manual_RhV!T12),NOT(ISNUMBER(Calc_RhV!T12))),"só manual","sem valor")))</f>
        <v>0.70898769478855839</v>
      </c>
      <c r="U12" s="12">
        <f>IF(AND(ISNUMBER(Calc_RhV!U12),ISNUMBER(Manual_RhV!U12)),Calc_RhV!U12/Manual_RhV!U12,IF(AND(ISNUMBER(Calc_RhV!U12),NOT(ISNUMBER(Manual_RhV!U12))),"só calc",IF(AND(ISNUMBER(Manual_RhV!U12),NOT(ISNUMBER(Calc_RhV!U12))),"só manual","sem valor")))</f>
        <v>0.70986593331041592</v>
      </c>
      <c r="V12" s="12">
        <f>IF(AND(ISNUMBER(Calc_RhV!V12),ISNUMBER(Manual_RhV!V12)),Calc_RhV!V12/Manual_RhV!V12,IF(AND(ISNUMBER(Calc_RhV!V12),NOT(ISNUMBER(Manual_RhV!V12))),"só calc",IF(AND(ISNUMBER(Manual_RhV!V12),NOT(ISNUMBER(Calc_RhV!V12))),"só manual","sem valor")))</f>
        <v>0.70961404004413886</v>
      </c>
      <c r="W12" s="12">
        <f>IF(AND(ISNUMBER(Calc_RhV!W12),ISNUMBER(Manual_RhV!W12)),Calc_RhV!W12/Manual_RhV!W12,IF(AND(ISNUMBER(Calc_RhV!W12),NOT(ISNUMBER(Manual_RhV!W12))),"só calc",IF(AND(ISNUMBER(Manual_RhV!W12),NOT(ISNUMBER(Calc_RhV!W12))),"só manual","sem valor")))</f>
        <v>0.70986593331041603</v>
      </c>
      <c r="X12" s="12">
        <f>IF(AND(ISNUMBER(Calc_RhV!X12),ISNUMBER(Manual_RhV!X12)),Calc_RhV!X12/Manual_RhV!X12,IF(AND(ISNUMBER(Calc_RhV!X12),NOT(ISNUMBER(Manual_RhV!X12))),"só calc",IF(AND(ISNUMBER(Manual_RhV!X12),NOT(ISNUMBER(Calc_RhV!X12))),"só manual","sem valor")))</f>
        <v>0.70978375519286052</v>
      </c>
    </row>
    <row r="13" spans="1:24" x14ac:dyDescent="0.25">
      <c r="A13" s="11" t="s">
        <v>56</v>
      </c>
      <c r="B13" s="11" t="str">
        <f>Calc_RhV!B13</f>
        <v>R8</v>
      </c>
      <c r="C13" s="12">
        <f>IF(AND(ISNUMBER(Calc_RhV!C13),ISNUMBER(Manual_RhV!C13)),Calc_RhV!C13/Manual_RhV!C13,IF(AND(ISNUMBER(Calc_RhV!C13),NOT(ISNUMBER(Manual_RhV!C13))),"só calc",IF(AND(ISNUMBER(Manual_RhV!C13),NOT(ISNUMBER(Calc_RhV!C13))),"só manual","sem valor")))</f>
        <v>0.65774804905239681</v>
      </c>
      <c r="D13" s="12">
        <f>IF(AND(ISNUMBER(Calc_RhV!D13),ISNUMBER(Manual_RhV!D13)),Calc_RhV!D13/Manual_RhV!D13,IF(AND(ISNUMBER(Calc_RhV!D13),NOT(ISNUMBER(Manual_RhV!D13))),"só calc",IF(AND(ISNUMBER(Manual_RhV!D13),NOT(ISNUMBER(Calc_RhV!D13))),"só manual","sem valor")))</f>
        <v>0.65781846054134629</v>
      </c>
      <c r="E13" s="12">
        <f>IF(AND(ISNUMBER(Calc_RhV!E13),ISNUMBER(Manual_RhV!E13)),Calc_RhV!E13/Manual_RhV!E13,IF(AND(ISNUMBER(Calc_RhV!E13),NOT(ISNUMBER(Manual_RhV!E13))),"só calc",IF(AND(ISNUMBER(Manual_RhV!E13),NOT(ISNUMBER(Calc_RhV!E13))),"só manual","sem valor")))</f>
        <v>0.65774804905239703</v>
      </c>
      <c r="F13" s="12">
        <f>IF(AND(ISNUMBER(Calc_RhV!F13),ISNUMBER(Manual_RhV!F13)),Calc_RhV!F13/Manual_RhV!F13,IF(AND(ISNUMBER(Calc_RhV!F13),NOT(ISNUMBER(Manual_RhV!F13))),"só calc",IF(AND(ISNUMBER(Manual_RhV!F13),NOT(ISNUMBER(Calc_RhV!F13))),"só manual","sem valor")))</f>
        <v>0.65384163681216212</v>
      </c>
      <c r="G13" s="12">
        <f>IF(AND(ISNUMBER(Calc_RhV!G13),ISNUMBER(Manual_RhV!G13)),Calc_RhV!G13/Manual_RhV!G13,IF(AND(ISNUMBER(Calc_RhV!G13),NOT(ISNUMBER(Manual_RhV!G13))),"só calc",IF(AND(ISNUMBER(Manual_RhV!G13),NOT(ISNUMBER(Calc_RhV!G13))),"só manual","sem valor")))</f>
        <v>0.65774804905239692</v>
      </c>
      <c r="H13" s="12">
        <f>IF(AND(ISNUMBER(Calc_RhV!H13),ISNUMBER(Manual_RhV!H13)),Calc_RhV!H13/Manual_RhV!H13,IF(AND(ISNUMBER(Calc_RhV!H13),NOT(ISNUMBER(Manual_RhV!H13))),"só calc",IF(AND(ISNUMBER(Manual_RhV!H13),NOT(ISNUMBER(Calc_RhV!H13))),"só manual","sem valor")))</f>
        <v>0.65683573343944035</v>
      </c>
      <c r="I13" s="12">
        <f>IF(AND(ISNUMBER(Calc_RhV!I13),ISNUMBER(Manual_RhV!I13)),Calc_RhV!I13/Manual_RhV!I13,IF(AND(ISNUMBER(Calc_RhV!I13),NOT(ISNUMBER(Manual_RhV!I13))),"só calc",IF(AND(ISNUMBER(Manual_RhV!I13),NOT(ISNUMBER(Calc_RhV!I13))),"só manual","sem valor")))</f>
        <v>0.65774804905239692</v>
      </c>
      <c r="J13" s="12">
        <f>IF(AND(ISNUMBER(Calc_RhV!J13),ISNUMBER(Manual_RhV!J13)),Calc_RhV!J13/Manual_RhV!J13,IF(AND(ISNUMBER(Calc_RhV!J13),NOT(ISNUMBER(Manual_RhV!J13))),"só calc",IF(AND(ISNUMBER(Manual_RhV!J13),NOT(ISNUMBER(Calc_RhV!J13))),"só manual","sem valor")))</f>
        <v>0.65783244503145477</v>
      </c>
      <c r="K13" s="12">
        <f>IF(AND(ISNUMBER(Calc_RhV!K13),ISNUMBER(Manual_RhV!K13)),Calc_RhV!K13/Manual_RhV!K13,IF(AND(ISNUMBER(Calc_RhV!K13),NOT(ISNUMBER(Manual_RhV!K13))),"só calc",IF(AND(ISNUMBER(Manual_RhV!K13),NOT(ISNUMBER(Calc_RhV!K13))),"só manual","sem valor")))</f>
        <v>0.65774804905239703</v>
      </c>
      <c r="L13" s="12">
        <f>IF(AND(ISNUMBER(Calc_RhV!L13),ISNUMBER(Manual_RhV!L13)),Calc_RhV!L13/Manual_RhV!L13,IF(AND(ISNUMBER(Calc_RhV!L13),NOT(ISNUMBER(Manual_RhV!L13))),"só calc",IF(AND(ISNUMBER(Manual_RhV!L13),NOT(ISNUMBER(Calc_RhV!L13))),"só manual","sem valor")))</f>
        <v>0.65833030442777563</v>
      </c>
      <c r="M13" s="12">
        <f>IF(AND(ISNUMBER(Calc_RhV!M13),ISNUMBER(Manual_RhV!M13)),Calc_RhV!M13/Manual_RhV!M13,IF(AND(ISNUMBER(Calc_RhV!M13),NOT(ISNUMBER(Manual_RhV!M13))),"só calc",IF(AND(ISNUMBER(Manual_RhV!M13),NOT(ISNUMBER(Calc_RhV!M13))),"só manual","sem valor")))</f>
        <v>0.65774804905239681</v>
      </c>
      <c r="N13" s="12">
        <f>IF(AND(ISNUMBER(Calc_RhV!N13),ISNUMBER(Manual_RhV!N13)),Calc_RhV!N13/Manual_RhV!N13,IF(AND(ISNUMBER(Calc_RhV!N13),NOT(ISNUMBER(Manual_RhV!N13))),"só calc",IF(AND(ISNUMBER(Manual_RhV!N13),NOT(ISNUMBER(Calc_RhV!N13))),"só manual","sem valor")))</f>
        <v>0.65797355651281053</v>
      </c>
      <c r="O13" s="12">
        <f>IF(AND(ISNUMBER(Calc_RhV!O13),ISNUMBER(Manual_RhV!O13)),Calc_RhV!O13/Manual_RhV!O13,IF(AND(ISNUMBER(Calc_RhV!O13),NOT(ISNUMBER(Manual_RhV!O13))),"só calc",IF(AND(ISNUMBER(Manual_RhV!O13),NOT(ISNUMBER(Calc_RhV!O13))),"só manual","sem valor")))</f>
        <v>0.65774804905239681</v>
      </c>
      <c r="P13" s="12">
        <f>IF(AND(ISNUMBER(Calc_RhV!P13),ISNUMBER(Manual_RhV!P13)),Calc_RhV!P13/Manual_RhV!P13,IF(AND(ISNUMBER(Calc_RhV!P13),NOT(ISNUMBER(Manual_RhV!P13))),"só calc",IF(AND(ISNUMBER(Manual_RhV!P13),NOT(ISNUMBER(Calc_RhV!P13))),"só manual","sem valor")))</f>
        <v>0.65890222189785275</v>
      </c>
      <c r="Q13" s="12">
        <f>IF(AND(ISNUMBER(Calc_RhV!Q13),ISNUMBER(Manual_RhV!Q13)),Calc_RhV!Q13/Manual_RhV!Q13,IF(AND(ISNUMBER(Calc_RhV!Q13),NOT(ISNUMBER(Manual_RhV!Q13))),"só calc",IF(AND(ISNUMBER(Manual_RhV!Q13),NOT(ISNUMBER(Calc_RhV!Q13))),"só manual","sem valor")))</f>
        <v>0.65774804905239692</v>
      </c>
      <c r="R13" s="12">
        <f>IF(AND(ISNUMBER(Calc_RhV!R13),ISNUMBER(Manual_RhV!R13)),Calc_RhV!R13/Manual_RhV!R13,IF(AND(ISNUMBER(Calc_RhV!R13),NOT(ISNUMBER(Manual_RhV!R13))),"só calc",IF(AND(ISNUMBER(Manual_RhV!R13),NOT(ISNUMBER(Calc_RhV!R13))),"só manual","sem valor")))</f>
        <v>0.65773553937473039</v>
      </c>
      <c r="S13" s="12">
        <f>IF(AND(ISNUMBER(Calc_RhV!S13),ISNUMBER(Manual_RhV!S13)),Calc_RhV!S13/Manual_RhV!S13,IF(AND(ISNUMBER(Calc_RhV!S13),NOT(ISNUMBER(Manual_RhV!S13))),"só calc",IF(AND(ISNUMBER(Manual_RhV!S13),NOT(ISNUMBER(Calc_RhV!S13))),"só manual","sem valor")))</f>
        <v>0.65774804905239692</v>
      </c>
      <c r="T13" s="12">
        <f>IF(AND(ISNUMBER(Calc_RhV!T13),ISNUMBER(Manual_RhV!T13)),Calc_RhV!T13/Manual_RhV!T13,IF(AND(ISNUMBER(Calc_RhV!T13),NOT(ISNUMBER(Manual_RhV!T13))),"só calc",IF(AND(ISNUMBER(Manual_RhV!T13),NOT(ISNUMBER(Calc_RhV!T13))),"só manual","sem valor")))</f>
        <v>0.65801418012102186</v>
      </c>
      <c r="U13" s="12">
        <f>IF(AND(ISNUMBER(Calc_RhV!U13),ISNUMBER(Manual_RhV!U13)),Calc_RhV!U13/Manual_RhV!U13,IF(AND(ISNUMBER(Calc_RhV!U13),NOT(ISNUMBER(Manual_RhV!U13))),"só calc",IF(AND(ISNUMBER(Manual_RhV!U13),NOT(ISNUMBER(Calc_RhV!U13))),"só manual","sem valor")))</f>
        <v>0.65774804905239681</v>
      </c>
      <c r="V13" s="12">
        <f>IF(AND(ISNUMBER(Calc_RhV!V13),ISNUMBER(Manual_RhV!V13)),Calc_RhV!V13/Manual_RhV!V13,IF(AND(ISNUMBER(Calc_RhV!V13),NOT(ISNUMBER(Manual_RhV!V13))),"só calc",IF(AND(ISNUMBER(Manual_RhV!V13),NOT(ISNUMBER(Calc_RhV!V13))),"só manual","sem valor")))</f>
        <v>0.65769751500040385</v>
      </c>
      <c r="W13" s="12">
        <f>IF(AND(ISNUMBER(Calc_RhV!W13),ISNUMBER(Manual_RhV!W13)),Calc_RhV!W13/Manual_RhV!W13,IF(AND(ISNUMBER(Calc_RhV!W13),NOT(ISNUMBER(Manual_RhV!W13))),"só calc",IF(AND(ISNUMBER(Manual_RhV!W13),NOT(ISNUMBER(Calc_RhV!W13))),"só manual","sem valor")))</f>
        <v>0.65774804905239681</v>
      </c>
      <c r="X13" s="12">
        <f>IF(AND(ISNUMBER(Calc_RhV!X13),ISNUMBER(Manual_RhV!X13)),Calc_RhV!X13/Manual_RhV!X13,IF(AND(ISNUMBER(Calc_RhV!X13),NOT(ISNUMBER(Manual_RhV!X13))),"só calc",IF(AND(ISNUMBER(Manual_RhV!X13),NOT(ISNUMBER(Calc_RhV!X13))),"só manual","sem valor")))</f>
        <v>0.65766626095449243</v>
      </c>
    </row>
    <row r="14" spans="1:24" x14ac:dyDescent="0.25">
      <c r="A14" s="11" t="s">
        <v>57</v>
      </c>
      <c r="B14" s="11" t="str">
        <f>Calc_RhV!B14</f>
        <v>R9</v>
      </c>
      <c r="C14" s="12">
        <f>IF(AND(ISNUMBER(Calc_RhV!C14),ISNUMBER(Manual_RhV!C14)),Calc_RhV!C14/Manual_RhV!C14,IF(AND(ISNUMBER(Calc_RhV!C14),NOT(ISNUMBER(Manual_RhV!C14))),"só calc",IF(AND(ISNUMBER(Manual_RhV!C14),NOT(ISNUMBER(Calc_RhV!C14))),"só manual","sem valor")))</f>
        <v>0.74387608069164279</v>
      </c>
      <c r="D14" s="12">
        <f>IF(AND(ISNUMBER(Calc_RhV!D14),ISNUMBER(Manual_RhV!D14)),Calc_RhV!D14/Manual_RhV!D14,IF(AND(ISNUMBER(Calc_RhV!D14),NOT(ISNUMBER(Manual_RhV!D14))),"só calc",IF(AND(ISNUMBER(Manual_RhV!D14),NOT(ISNUMBER(Calc_RhV!D14))),"só manual","sem valor")))</f>
        <v>0.74484246504139318</v>
      </c>
      <c r="E14" s="12">
        <f>IF(AND(ISNUMBER(Calc_RhV!E14),ISNUMBER(Manual_RhV!E14)),Calc_RhV!E14/Manual_RhV!E14,IF(AND(ISNUMBER(Calc_RhV!E14),NOT(ISNUMBER(Manual_RhV!E14))),"só calc",IF(AND(ISNUMBER(Manual_RhV!E14),NOT(ISNUMBER(Calc_RhV!E14))),"só manual","sem valor")))</f>
        <v>0.74387608069164268</v>
      </c>
      <c r="F14" s="12">
        <f>IF(AND(ISNUMBER(Calc_RhV!F14),ISNUMBER(Manual_RhV!F14)),Calc_RhV!F14/Manual_RhV!F14,IF(AND(ISNUMBER(Calc_RhV!F14),NOT(ISNUMBER(Manual_RhV!F14))),"só calc",IF(AND(ISNUMBER(Manual_RhV!F14),NOT(ISNUMBER(Calc_RhV!F14))),"só manual","sem valor")))</f>
        <v>0.74109687205377095</v>
      </c>
      <c r="G14" s="12">
        <f>IF(AND(ISNUMBER(Calc_RhV!G14),ISNUMBER(Manual_RhV!G14)),Calc_RhV!G14/Manual_RhV!G14,IF(AND(ISNUMBER(Calc_RhV!G14),NOT(ISNUMBER(Manual_RhV!G14))),"só calc",IF(AND(ISNUMBER(Manual_RhV!G14),NOT(ISNUMBER(Calc_RhV!G14))),"só manual","sem valor")))</f>
        <v>0.74387608069164268</v>
      </c>
      <c r="H14" s="12">
        <f>IF(AND(ISNUMBER(Calc_RhV!H14),ISNUMBER(Manual_RhV!H14)),Calc_RhV!H14/Manual_RhV!H14,IF(AND(ISNUMBER(Calc_RhV!H14),NOT(ISNUMBER(Manual_RhV!H14))),"só calc",IF(AND(ISNUMBER(Manual_RhV!H14),NOT(ISNUMBER(Calc_RhV!H14))),"só manual","sem valor")))</f>
        <v>0.74429724181727042</v>
      </c>
      <c r="I14" s="12">
        <f>IF(AND(ISNUMBER(Calc_RhV!I14),ISNUMBER(Manual_RhV!I14)),Calc_RhV!I14/Manual_RhV!I14,IF(AND(ISNUMBER(Calc_RhV!I14),NOT(ISNUMBER(Manual_RhV!I14))),"só calc",IF(AND(ISNUMBER(Manual_RhV!I14),NOT(ISNUMBER(Calc_RhV!I14))),"só manual","sem valor")))</f>
        <v>0.74387608069164302</v>
      </c>
      <c r="J14" s="12">
        <f>IF(AND(ISNUMBER(Calc_RhV!J14),ISNUMBER(Manual_RhV!J14)),Calc_RhV!J14/Manual_RhV!J14,IF(AND(ISNUMBER(Calc_RhV!J14),NOT(ISNUMBER(Manual_RhV!J14))),"só calc",IF(AND(ISNUMBER(Manual_RhV!J14),NOT(ISNUMBER(Calc_RhV!J14))),"só manual","sem valor")))</f>
        <v>0.74392822102385836</v>
      </c>
      <c r="K14" s="12">
        <f>IF(AND(ISNUMBER(Calc_RhV!K14),ISNUMBER(Manual_RhV!K14)),Calc_RhV!K14/Manual_RhV!K14,IF(AND(ISNUMBER(Calc_RhV!K14),NOT(ISNUMBER(Manual_RhV!K14))),"só calc",IF(AND(ISNUMBER(Manual_RhV!K14),NOT(ISNUMBER(Calc_RhV!K14))),"só manual","sem valor")))</f>
        <v>0.74387608069164268</v>
      </c>
      <c r="L14" s="12">
        <f>IF(AND(ISNUMBER(Calc_RhV!L14),ISNUMBER(Manual_RhV!L14)),Calc_RhV!L14/Manual_RhV!L14,IF(AND(ISNUMBER(Calc_RhV!L14),NOT(ISNUMBER(Manual_RhV!L14))),"só calc",IF(AND(ISNUMBER(Manual_RhV!L14),NOT(ISNUMBER(Calc_RhV!L14))),"só manual","sem valor")))</f>
        <v>0.74347936984237817</v>
      </c>
      <c r="M14" s="12">
        <f>IF(AND(ISNUMBER(Calc_RhV!M14),ISNUMBER(Manual_RhV!M14)),Calc_RhV!M14/Manual_RhV!M14,IF(AND(ISNUMBER(Calc_RhV!M14),NOT(ISNUMBER(Manual_RhV!M14))),"só calc",IF(AND(ISNUMBER(Manual_RhV!M14),NOT(ISNUMBER(Calc_RhV!M14))),"só manual","sem valor")))</f>
        <v>0.74387608069164257</v>
      </c>
      <c r="N14" s="12">
        <f>IF(AND(ISNUMBER(Calc_RhV!N14),ISNUMBER(Manual_RhV!N14)),Calc_RhV!N14/Manual_RhV!N14,IF(AND(ISNUMBER(Calc_RhV!N14),NOT(ISNUMBER(Manual_RhV!N14))),"só calc",IF(AND(ISNUMBER(Manual_RhV!N14),NOT(ISNUMBER(Calc_RhV!N14))),"só manual","sem valor")))</f>
        <v>0.74379293682612446</v>
      </c>
      <c r="O14" s="12">
        <f>IF(AND(ISNUMBER(Calc_RhV!O14),ISNUMBER(Manual_RhV!O14)),Calc_RhV!O14/Manual_RhV!O14,IF(AND(ISNUMBER(Calc_RhV!O14),NOT(ISNUMBER(Manual_RhV!O14))),"só calc",IF(AND(ISNUMBER(Manual_RhV!O14),NOT(ISNUMBER(Calc_RhV!O14))),"só manual","sem valor")))</f>
        <v>0.74387608069164257</v>
      </c>
      <c r="P14" s="12">
        <f>IF(AND(ISNUMBER(Calc_RhV!P14),ISNUMBER(Manual_RhV!P14)),Calc_RhV!P14/Manual_RhV!P14,IF(AND(ISNUMBER(Calc_RhV!P14),NOT(ISNUMBER(Manual_RhV!P14))),"só calc",IF(AND(ISNUMBER(Manual_RhV!P14),NOT(ISNUMBER(Calc_RhV!P14))),"só manual","sem valor")))</f>
        <v>0.74335719333096639</v>
      </c>
      <c r="Q14" s="12">
        <f>IF(AND(ISNUMBER(Calc_RhV!Q14),ISNUMBER(Manual_RhV!Q14)),Calc_RhV!Q14/Manual_RhV!Q14,IF(AND(ISNUMBER(Calc_RhV!Q14),NOT(ISNUMBER(Manual_RhV!Q14))),"só calc",IF(AND(ISNUMBER(Manual_RhV!Q14),NOT(ISNUMBER(Calc_RhV!Q14))),"só manual","sem valor")))</f>
        <v>0.74387608069164279</v>
      </c>
      <c r="R14" s="12">
        <f>IF(AND(ISNUMBER(Calc_RhV!R14),ISNUMBER(Manual_RhV!R14)),Calc_RhV!R14/Manual_RhV!R14,IF(AND(ISNUMBER(Calc_RhV!R14),NOT(ISNUMBER(Manual_RhV!R14))),"só calc",IF(AND(ISNUMBER(Manual_RhV!R14),NOT(ISNUMBER(Calc_RhV!R14))),"só manual","sem valor")))</f>
        <v>0.74387783632594662</v>
      </c>
      <c r="S14" s="12">
        <f>IF(AND(ISNUMBER(Calc_RhV!S14),ISNUMBER(Manual_RhV!S14)),Calc_RhV!S14/Manual_RhV!S14,IF(AND(ISNUMBER(Calc_RhV!S14),NOT(ISNUMBER(Manual_RhV!S14))),"só calc",IF(AND(ISNUMBER(Manual_RhV!S14),NOT(ISNUMBER(Calc_RhV!S14))),"só manual","sem valor")))</f>
        <v>0.74387608069164257</v>
      </c>
      <c r="T14" s="12">
        <f>IF(AND(ISNUMBER(Calc_RhV!T14),ISNUMBER(Manual_RhV!T14)),Calc_RhV!T14/Manual_RhV!T14,IF(AND(ISNUMBER(Calc_RhV!T14),NOT(ISNUMBER(Manual_RhV!T14))),"só calc",IF(AND(ISNUMBER(Manual_RhV!T14),NOT(ISNUMBER(Calc_RhV!T14))),"só manual","sem valor")))</f>
        <v>0.74350212573148067</v>
      </c>
      <c r="U14" s="12">
        <f>IF(AND(ISNUMBER(Calc_RhV!U14),ISNUMBER(Manual_RhV!U14)),Calc_RhV!U14/Manual_RhV!U14,IF(AND(ISNUMBER(Calc_RhV!U14),NOT(ISNUMBER(Manual_RhV!U14))),"só calc",IF(AND(ISNUMBER(Manual_RhV!U14),NOT(ISNUMBER(Calc_RhV!U14))),"só manual","sem valor")))</f>
        <v>0.74387608069164235</v>
      </c>
      <c r="V14" s="12">
        <f>IF(AND(ISNUMBER(Calc_RhV!V14),ISNUMBER(Manual_RhV!V14)),Calc_RhV!V14/Manual_RhV!V14,IF(AND(ISNUMBER(Calc_RhV!V14),NOT(ISNUMBER(Manual_RhV!V14))),"só calc",IF(AND(ISNUMBER(Manual_RhV!V14),NOT(ISNUMBER(Calc_RhV!V14))),"só manual","sem valor")))</f>
        <v>0.74394143413973346</v>
      </c>
      <c r="W14" s="12">
        <f>IF(AND(ISNUMBER(Calc_RhV!W14),ISNUMBER(Manual_RhV!W14)),Calc_RhV!W14/Manual_RhV!W14,IF(AND(ISNUMBER(Calc_RhV!W14),NOT(ISNUMBER(Manual_RhV!W14))),"só calc",IF(AND(ISNUMBER(Manual_RhV!W14),NOT(ISNUMBER(Calc_RhV!W14))),"só manual","sem valor")))</f>
        <v>0.74387608069164279</v>
      </c>
      <c r="X14" s="12">
        <f>IF(AND(ISNUMBER(Calc_RhV!X14),ISNUMBER(Manual_RhV!X14)),Calc_RhV!X14/Manual_RhV!X14,IF(AND(ISNUMBER(Calc_RhV!X14),NOT(ISNUMBER(Manual_RhV!X14))),"só calc",IF(AND(ISNUMBER(Manual_RhV!X14),NOT(ISNUMBER(Calc_RhV!X14))),"só manual","sem valor")))</f>
        <v>0.74425884744390847</v>
      </c>
    </row>
    <row r="15" spans="1:24" x14ac:dyDescent="0.25">
      <c r="A15" s="11" t="s">
        <v>58</v>
      </c>
      <c r="B15" s="11" t="str">
        <f>Calc_RhV!B15</f>
        <v>R10</v>
      </c>
      <c r="C15" s="12">
        <f>IF(AND(ISNUMBER(Calc_RhV!C15),ISNUMBER(Manual_RhV!C15)),Calc_RhV!C15/Manual_RhV!C15,IF(AND(ISNUMBER(Calc_RhV!C15),NOT(ISNUMBER(Manual_RhV!C15))),"só calc",IF(AND(ISNUMBER(Manual_RhV!C15),NOT(ISNUMBER(Calc_RhV!C15))),"só manual","sem valor")))</f>
        <v>0.80664062499999989</v>
      </c>
      <c r="D15" s="12">
        <f>IF(AND(ISNUMBER(Calc_RhV!D15),ISNUMBER(Manual_RhV!D15)),Calc_RhV!D15/Manual_RhV!D15,IF(AND(ISNUMBER(Calc_RhV!D15),NOT(ISNUMBER(Manual_RhV!D15))),"só calc",IF(AND(ISNUMBER(Manual_RhV!D15),NOT(ISNUMBER(Calc_RhV!D15))),"só manual","sem valor")))</f>
        <v>0.80834990237014215</v>
      </c>
      <c r="E15" s="12">
        <f>IF(AND(ISNUMBER(Calc_RhV!E15),ISNUMBER(Manual_RhV!E15)),Calc_RhV!E15/Manual_RhV!E15,IF(AND(ISNUMBER(Calc_RhV!E15),NOT(ISNUMBER(Manual_RhV!E15))),"só calc",IF(AND(ISNUMBER(Manual_RhV!E15),NOT(ISNUMBER(Calc_RhV!E15))),"só manual","sem valor")))</f>
        <v>0.806640625</v>
      </c>
      <c r="F15" s="12">
        <f>IF(AND(ISNUMBER(Calc_RhV!F15),ISNUMBER(Manual_RhV!F15)),Calc_RhV!F15/Manual_RhV!F15,IF(AND(ISNUMBER(Calc_RhV!F15),NOT(ISNUMBER(Manual_RhV!F15))),"só calc",IF(AND(ISNUMBER(Manual_RhV!F15),NOT(ISNUMBER(Calc_RhV!F15))),"só manual","sem valor")))</f>
        <v>0.81075325989108227</v>
      </c>
      <c r="G15" s="12">
        <f>IF(AND(ISNUMBER(Calc_RhV!G15),ISNUMBER(Manual_RhV!G15)),Calc_RhV!G15/Manual_RhV!G15,IF(AND(ISNUMBER(Calc_RhV!G15),NOT(ISNUMBER(Manual_RhV!G15))),"só calc",IF(AND(ISNUMBER(Manual_RhV!G15),NOT(ISNUMBER(Calc_RhV!G15))),"só manual","sem valor")))</f>
        <v>0.80664062499999956</v>
      </c>
      <c r="H15" s="12">
        <f>IF(AND(ISNUMBER(Calc_RhV!H15),ISNUMBER(Manual_RhV!H15)),Calc_RhV!H15/Manual_RhV!H15,IF(AND(ISNUMBER(Calc_RhV!H15),NOT(ISNUMBER(Manual_RhV!H15))),"só calc",IF(AND(ISNUMBER(Manual_RhV!H15),NOT(ISNUMBER(Calc_RhV!H15))),"só manual","sem valor")))</f>
        <v>0.8061646973073</v>
      </c>
      <c r="I15" s="12">
        <f>IF(AND(ISNUMBER(Calc_RhV!I15),ISNUMBER(Manual_RhV!I15)),Calc_RhV!I15/Manual_RhV!I15,IF(AND(ISNUMBER(Calc_RhV!I15),NOT(ISNUMBER(Manual_RhV!I15))),"só calc",IF(AND(ISNUMBER(Manual_RhV!I15),NOT(ISNUMBER(Calc_RhV!I15))),"só manual","sem valor")))</f>
        <v>0.80664062500000011</v>
      </c>
      <c r="J15" s="12">
        <f>IF(AND(ISNUMBER(Calc_RhV!J15),ISNUMBER(Manual_RhV!J15)),Calc_RhV!J15/Manual_RhV!J15,IF(AND(ISNUMBER(Calc_RhV!J15),NOT(ISNUMBER(Manual_RhV!J15))),"só calc",IF(AND(ISNUMBER(Manual_RhV!J15),NOT(ISNUMBER(Calc_RhV!J15))),"só manual","sem valor")))</f>
        <v>0.80659005278099472</v>
      </c>
      <c r="K15" s="12">
        <f>IF(AND(ISNUMBER(Calc_RhV!K15),ISNUMBER(Manual_RhV!K15)),Calc_RhV!K15/Manual_RhV!K15,IF(AND(ISNUMBER(Calc_RhV!K15),NOT(ISNUMBER(Manual_RhV!K15))),"só calc",IF(AND(ISNUMBER(Manual_RhV!K15),NOT(ISNUMBER(Calc_RhV!K15))),"só manual","sem valor")))</f>
        <v>0.80664062500000022</v>
      </c>
      <c r="L15" s="12">
        <f>IF(AND(ISNUMBER(Calc_RhV!L15),ISNUMBER(Manual_RhV!L15)),Calc_RhV!L15/Manual_RhV!L15,IF(AND(ISNUMBER(Calc_RhV!L15),NOT(ISNUMBER(Manual_RhV!L15))),"só calc",IF(AND(ISNUMBER(Manual_RhV!L15),NOT(ISNUMBER(Calc_RhV!L15))),"só manual","sem valor")))</f>
        <v>0.80715607271978351</v>
      </c>
      <c r="M15" s="12">
        <f>IF(AND(ISNUMBER(Calc_RhV!M15),ISNUMBER(Manual_RhV!M15)),Calc_RhV!M15/Manual_RhV!M15,IF(AND(ISNUMBER(Calc_RhV!M15),NOT(ISNUMBER(Manual_RhV!M15))),"só calc",IF(AND(ISNUMBER(Manual_RhV!M15),NOT(ISNUMBER(Calc_RhV!M15))),"só manual","sem valor")))</f>
        <v>0.80664062499999989</v>
      </c>
      <c r="N15" s="12">
        <f>IF(AND(ISNUMBER(Calc_RhV!N15),ISNUMBER(Manual_RhV!N15)),Calc_RhV!N15/Manual_RhV!N15,IF(AND(ISNUMBER(Calc_RhV!N15),NOT(ISNUMBER(Manual_RhV!N15))),"só calc",IF(AND(ISNUMBER(Manual_RhV!N15),NOT(ISNUMBER(Calc_RhV!N15))),"só manual","sem valor")))</f>
        <v>0.80686947207210702</v>
      </c>
      <c r="O15" s="12">
        <f>IF(AND(ISNUMBER(Calc_RhV!O15),ISNUMBER(Manual_RhV!O15)),Calc_RhV!O15/Manual_RhV!O15,IF(AND(ISNUMBER(Calc_RhV!O15),NOT(ISNUMBER(Manual_RhV!O15))),"só calc",IF(AND(ISNUMBER(Manual_RhV!O15),NOT(ISNUMBER(Calc_RhV!O15))),"só manual","sem valor")))</f>
        <v>0.806640625</v>
      </c>
      <c r="P15" s="12">
        <f>IF(AND(ISNUMBER(Calc_RhV!P15),ISNUMBER(Manual_RhV!P15)),Calc_RhV!P15/Manual_RhV!P15,IF(AND(ISNUMBER(Calc_RhV!P15),NOT(ISNUMBER(Manual_RhV!P15))),"só calc",IF(AND(ISNUMBER(Manual_RhV!P15),NOT(ISNUMBER(Calc_RhV!P15))),"só manual","sem valor")))</f>
        <v>0.80637640102273234</v>
      </c>
      <c r="Q15" s="12">
        <f>IF(AND(ISNUMBER(Calc_RhV!Q15),ISNUMBER(Manual_RhV!Q15)),Calc_RhV!Q15/Manual_RhV!Q15,IF(AND(ISNUMBER(Calc_RhV!Q15),NOT(ISNUMBER(Manual_RhV!Q15))),"só calc",IF(AND(ISNUMBER(Manual_RhV!Q15),NOT(ISNUMBER(Calc_RhV!Q15))),"só manual","sem valor")))</f>
        <v>0.806640625</v>
      </c>
      <c r="R15" s="12">
        <f>IF(AND(ISNUMBER(Calc_RhV!R15),ISNUMBER(Manual_RhV!R15)),Calc_RhV!R15/Manual_RhV!R15,IF(AND(ISNUMBER(Calc_RhV!R15),NOT(ISNUMBER(Manual_RhV!R15))),"só calc",IF(AND(ISNUMBER(Manual_RhV!R15),NOT(ISNUMBER(Calc_RhV!R15))),"só manual","sem valor")))</f>
        <v>0.80665307326900937</v>
      </c>
      <c r="S15" s="12">
        <f>IF(AND(ISNUMBER(Calc_RhV!S15),ISNUMBER(Manual_RhV!S15)),Calc_RhV!S15/Manual_RhV!S15,IF(AND(ISNUMBER(Calc_RhV!S15),NOT(ISNUMBER(Manual_RhV!S15))),"só calc",IF(AND(ISNUMBER(Manual_RhV!S15),NOT(ISNUMBER(Calc_RhV!S15))),"só manual","sem valor")))</f>
        <v>0.80664062499999956</v>
      </c>
      <c r="T15" s="12">
        <f>IF(AND(ISNUMBER(Calc_RhV!T15),ISNUMBER(Manual_RhV!T15)),Calc_RhV!T15/Manual_RhV!T15,IF(AND(ISNUMBER(Calc_RhV!T15),NOT(ISNUMBER(Manual_RhV!T15))),"só calc",IF(AND(ISNUMBER(Manual_RhV!T15),NOT(ISNUMBER(Calc_RhV!T15))),"só manual","sem valor")))</f>
        <v>0.80704898813619097</v>
      </c>
      <c r="U15" s="12">
        <f>IF(AND(ISNUMBER(Calc_RhV!U15),ISNUMBER(Manual_RhV!U15)),Calc_RhV!U15/Manual_RhV!U15,IF(AND(ISNUMBER(Calc_RhV!U15),NOT(ISNUMBER(Manual_RhV!U15))),"só calc",IF(AND(ISNUMBER(Manual_RhV!U15),NOT(ISNUMBER(Calc_RhV!U15))),"só manual","sem valor")))</f>
        <v>0.806640625</v>
      </c>
      <c r="V15" s="12">
        <f>IF(AND(ISNUMBER(Calc_RhV!V15),ISNUMBER(Manual_RhV!V15)),Calc_RhV!V15/Manual_RhV!V15,IF(AND(ISNUMBER(Calc_RhV!V15),NOT(ISNUMBER(Manual_RhV!V15))),"só calc",IF(AND(ISNUMBER(Manual_RhV!V15),NOT(ISNUMBER(Calc_RhV!V15))),"só manual","sem valor")))</f>
        <v>0.80710291090766439</v>
      </c>
      <c r="W15" s="12">
        <f>IF(AND(ISNUMBER(Calc_RhV!W15),ISNUMBER(Manual_RhV!W15)),Calc_RhV!W15/Manual_RhV!W15,IF(AND(ISNUMBER(Calc_RhV!W15),NOT(ISNUMBER(Manual_RhV!W15))),"só calc",IF(AND(ISNUMBER(Manual_RhV!W15),NOT(ISNUMBER(Calc_RhV!W15))),"só manual","sem valor")))</f>
        <v>0.806640625</v>
      </c>
      <c r="X15" s="12">
        <f>IF(AND(ISNUMBER(Calc_RhV!X15),ISNUMBER(Manual_RhV!X15)),Calc_RhV!X15/Manual_RhV!X15,IF(AND(ISNUMBER(Calc_RhV!X15),NOT(ISNUMBER(Manual_RhV!X15))),"só calc",IF(AND(ISNUMBER(Manual_RhV!X15),NOT(ISNUMBER(Calc_RhV!X15))),"só manual","sem valor")))</f>
        <v>0.80606388195296097</v>
      </c>
    </row>
    <row r="16" spans="1:24" x14ac:dyDescent="0.25">
      <c r="A16" s="11" t="s">
        <v>59</v>
      </c>
      <c r="B16" s="11" t="str">
        <f>Calc_RhV!B16</f>
        <v>R11</v>
      </c>
      <c r="C16" s="12">
        <f>IF(AND(ISNUMBER(Calc_RhV!C16),ISNUMBER(Manual_RhV!C16)),Calc_RhV!C16/Manual_RhV!C16,IF(AND(ISNUMBER(Calc_RhV!C16),NOT(ISNUMBER(Manual_RhV!C16))),"só calc",IF(AND(ISNUMBER(Manual_RhV!C16),NOT(ISNUMBER(Calc_RhV!C16))),"só manual","sem valor")))</f>
        <v>0.75309992706053985</v>
      </c>
      <c r="D16" s="12">
        <f>IF(AND(ISNUMBER(Calc_RhV!D16),ISNUMBER(Manual_RhV!D16)),Calc_RhV!D16/Manual_RhV!D16,IF(AND(ISNUMBER(Calc_RhV!D16),NOT(ISNUMBER(Manual_RhV!D16))),"só calc",IF(AND(ISNUMBER(Manual_RhV!D16),NOT(ISNUMBER(Calc_RhV!D16))),"só manual","sem valor")))</f>
        <v>0.75309607956269708</v>
      </c>
      <c r="E16" s="12">
        <f>IF(AND(ISNUMBER(Calc_RhV!E16),ISNUMBER(Manual_RhV!E16)),Calc_RhV!E16/Manual_RhV!E16,IF(AND(ISNUMBER(Calc_RhV!E16),NOT(ISNUMBER(Manual_RhV!E16))),"só calc",IF(AND(ISNUMBER(Manual_RhV!E16),NOT(ISNUMBER(Calc_RhV!E16))),"só manual","sem valor")))</f>
        <v>0.75309992706053985</v>
      </c>
      <c r="F16" s="12">
        <f>IF(AND(ISNUMBER(Calc_RhV!F16),ISNUMBER(Manual_RhV!F16)),Calc_RhV!F16/Manual_RhV!F16,IF(AND(ISNUMBER(Calc_RhV!F16),NOT(ISNUMBER(Manual_RhV!F16))),"só calc",IF(AND(ISNUMBER(Manual_RhV!F16),NOT(ISNUMBER(Calc_RhV!F16))),"só manual","sem valor")))</f>
        <v>0.75761504533176283</v>
      </c>
      <c r="G16" s="12">
        <f>IF(AND(ISNUMBER(Calc_RhV!G16),ISNUMBER(Manual_RhV!G16)),Calc_RhV!G16/Manual_RhV!G16,IF(AND(ISNUMBER(Calc_RhV!G16),NOT(ISNUMBER(Manual_RhV!G16))),"só calc",IF(AND(ISNUMBER(Manual_RhV!G16),NOT(ISNUMBER(Calc_RhV!G16))),"só manual","sem valor")))</f>
        <v>0.75309992706053985</v>
      </c>
      <c r="H16" s="12">
        <f>IF(AND(ISNUMBER(Calc_RhV!H16),ISNUMBER(Manual_RhV!H16)),Calc_RhV!H16/Manual_RhV!H16,IF(AND(ISNUMBER(Calc_RhV!H16),NOT(ISNUMBER(Manual_RhV!H16))),"só calc",IF(AND(ISNUMBER(Manual_RhV!H16),NOT(ISNUMBER(Calc_RhV!H16))),"só manual","sem valor")))</f>
        <v>0.75330544273875111</v>
      </c>
      <c r="I16" s="12">
        <f>IF(AND(ISNUMBER(Calc_RhV!I16),ISNUMBER(Manual_RhV!I16)),Calc_RhV!I16/Manual_RhV!I16,IF(AND(ISNUMBER(Calc_RhV!I16),NOT(ISNUMBER(Manual_RhV!I16))),"só calc",IF(AND(ISNUMBER(Manual_RhV!I16),NOT(ISNUMBER(Calc_RhV!I16))),"só manual","sem valor")))</f>
        <v>0.75309992706053974</v>
      </c>
      <c r="J16" s="12">
        <f>IF(AND(ISNUMBER(Calc_RhV!J16),ISNUMBER(Manual_RhV!J16)),Calc_RhV!J16/Manual_RhV!J16,IF(AND(ISNUMBER(Calc_RhV!J16),NOT(ISNUMBER(Manual_RhV!J16))),"só calc",IF(AND(ISNUMBER(Manual_RhV!J16),NOT(ISNUMBER(Calc_RhV!J16))),"só manual","sem valor")))</f>
        <v>0.75317970011099811</v>
      </c>
      <c r="K16" s="12">
        <f>IF(AND(ISNUMBER(Calc_RhV!K16),ISNUMBER(Manual_RhV!K16)),Calc_RhV!K16/Manual_RhV!K16,IF(AND(ISNUMBER(Calc_RhV!K16),NOT(ISNUMBER(Manual_RhV!K16))),"só calc",IF(AND(ISNUMBER(Manual_RhV!K16),NOT(ISNUMBER(Calc_RhV!K16))),"só manual","sem valor")))</f>
        <v>0.75309992706053974</v>
      </c>
      <c r="L16" s="12">
        <f>IF(AND(ISNUMBER(Calc_RhV!L16),ISNUMBER(Manual_RhV!L16)),Calc_RhV!L16/Manual_RhV!L16,IF(AND(ISNUMBER(Calc_RhV!L16),NOT(ISNUMBER(Manual_RhV!L16))),"só calc",IF(AND(ISNUMBER(Manual_RhV!L16),NOT(ISNUMBER(Calc_RhV!L16))),"só manual","sem valor")))</f>
        <v>0.75351148070453589</v>
      </c>
      <c r="M16" s="12">
        <f>IF(AND(ISNUMBER(Calc_RhV!M16),ISNUMBER(Manual_RhV!M16)),Calc_RhV!M16/Manual_RhV!M16,IF(AND(ISNUMBER(Calc_RhV!M16),NOT(ISNUMBER(Manual_RhV!M16))),"só calc",IF(AND(ISNUMBER(Manual_RhV!M16),NOT(ISNUMBER(Calc_RhV!M16))),"só manual","sem valor")))</f>
        <v>0.75309992706053963</v>
      </c>
      <c r="N16" s="12">
        <f>IF(AND(ISNUMBER(Calc_RhV!N16),ISNUMBER(Manual_RhV!N16)),Calc_RhV!N16/Manual_RhV!N16,IF(AND(ISNUMBER(Calc_RhV!N16),NOT(ISNUMBER(Manual_RhV!N16))),"só calc",IF(AND(ISNUMBER(Manual_RhV!N16),NOT(ISNUMBER(Calc_RhV!N16))),"só manual","sem valor")))</f>
        <v>0.75319909263136842</v>
      </c>
      <c r="O16" s="12">
        <f>IF(AND(ISNUMBER(Calc_RhV!O16),ISNUMBER(Manual_RhV!O16)),Calc_RhV!O16/Manual_RhV!O16,IF(AND(ISNUMBER(Calc_RhV!O16),NOT(ISNUMBER(Manual_RhV!O16))),"só calc",IF(AND(ISNUMBER(Manual_RhV!O16),NOT(ISNUMBER(Calc_RhV!O16))),"só manual","sem valor")))</f>
        <v>0.75309992706053985</v>
      </c>
      <c r="P16" s="12">
        <f>IF(AND(ISNUMBER(Calc_RhV!P16),ISNUMBER(Manual_RhV!P16)),Calc_RhV!P16/Manual_RhV!P16,IF(AND(ISNUMBER(Calc_RhV!P16),NOT(ISNUMBER(Manual_RhV!P16))),"só calc",IF(AND(ISNUMBER(Manual_RhV!P16),NOT(ISNUMBER(Calc_RhV!P16))),"só manual","sem valor")))</f>
        <v>0.75360339577329116</v>
      </c>
      <c r="Q16" s="12">
        <f>IF(AND(ISNUMBER(Calc_RhV!Q16),ISNUMBER(Manual_RhV!Q16)),Calc_RhV!Q16/Manual_RhV!Q16,IF(AND(ISNUMBER(Calc_RhV!Q16),NOT(ISNUMBER(Manual_RhV!Q16))),"só calc",IF(AND(ISNUMBER(Manual_RhV!Q16),NOT(ISNUMBER(Calc_RhV!Q16))),"só manual","sem valor")))</f>
        <v>0.75309992706053963</v>
      </c>
      <c r="R16" s="12">
        <f>IF(AND(ISNUMBER(Calc_RhV!R16),ISNUMBER(Manual_RhV!R16)),Calc_RhV!R16/Manual_RhV!R16,IF(AND(ISNUMBER(Calc_RhV!R16),NOT(ISNUMBER(Manual_RhV!R16))),"só calc",IF(AND(ISNUMBER(Manual_RhV!R16),NOT(ISNUMBER(Calc_RhV!R16))),"só manual","sem valor")))</f>
        <v>0.75309886675306825</v>
      </c>
      <c r="S16" s="12">
        <f>IF(AND(ISNUMBER(Calc_RhV!S16),ISNUMBER(Manual_RhV!S16)),Calc_RhV!S16/Manual_RhV!S16,IF(AND(ISNUMBER(Calc_RhV!S16),NOT(ISNUMBER(Manual_RhV!S16))),"só calc",IF(AND(ISNUMBER(Manual_RhV!S16),NOT(ISNUMBER(Calc_RhV!S16))),"só manual","sem valor")))</f>
        <v>0.75309992706053974</v>
      </c>
      <c r="T16" s="12">
        <f>IF(AND(ISNUMBER(Calc_RhV!T16),ISNUMBER(Manual_RhV!T16)),Calc_RhV!T16/Manual_RhV!T16,IF(AND(ISNUMBER(Calc_RhV!T16),NOT(ISNUMBER(Manual_RhV!T16))),"só calc",IF(AND(ISNUMBER(Manual_RhV!T16),NOT(ISNUMBER(Calc_RhV!T16))),"só manual","sem valor")))</f>
        <v>0.75327896841213082</v>
      </c>
      <c r="U16" s="12">
        <f>IF(AND(ISNUMBER(Calc_RhV!U16),ISNUMBER(Manual_RhV!U16)),Calc_RhV!U16/Manual_RhV!U16,IF(AND(ISNUMBER(Calc_RhV!U16),NOT(ISNUMBER(Manual_RhV!U16))),"só calc",IF(AND(ISNUMBER(Manual_RhV!U16),NOT(ISNUMBER(Calc_RhV!U16))),"só manual","sem valor")))</f>
        <v>0.75309992706053974</v>
      </c>
      <c r="V16" s="12">
        <f>IF(AND(ISNUMBER(Calc_RhV!V16),ISNUMBER(Manual_RhV!V16)),Calc_RhV!V16/Manual_RhV!V16,IF(AND(ISNUMBER(Calc_RhV!V16),NOT(ISNUMBER(Manual_RhV!V16))),"só calc",IF(AND(ISNUMBER(Manual_RhV!V16),NOT(ISNUMBER(Calc_RhV!V16))),"só manual","sem valor")))</f>
        <v>0.75271693927865635</v>
      </c>
      <c r="W16" s="12">
        <f>IF(AND(ISNUMBER(Calc_RhV!W16),ISNUMBER(Manual_RhV!W16)),Calc_RhV!W16/Manual_RhV!W16,IF(AND(ISNUMBER(Calc_RhV!W16),NOT(ISNUMBER(Manual_RhV!W16))),"só calc",IF(AND(ISNUMBER(Manual_RhV!W16),NOT(ISNUMBER(Calc_RhV!W16))),"só manual","sem valor")))</f>
        <v>0.75309992706053963</v>
      </c>
      <c r="X16" s="12">
        <f>IF(AND(ISNUMBER(Calc_RhV!X16),ISNUMBER(Manual_RhV!X16)),Calc_RhV!X16/Manual_RhV!X16,IF(AND(ISNUMBER(Calc_RhV!X16),NOT(ISNUMBER(Manual_RhV!X16))),"só calc",IF(AND(ISNUMBER(Manual_RhV!X16),NOT(ISNUMBER(Calc_RhV!X16))),"só manual","sem valor")))</f>
        <v>0.75353799850983783</v>
      </c>
    </row>
    <row r="18" spans="1:24" x14ac:dyDescent="0.25">
      <c r="A18" s="9" t="s">
        <v>60</v>
      </c>
      <c r="B18" s="13"/>
      <c r="C18" s="10">
        <f t="shared" ref="C18:X18" si="0">IF(COUNT(C7:C16)&gt;=2,AVERAGE(C7:C16),"—")</f>
        <v>0.70196910445505023</v>
      </c>
      <c r="D18" s="10">
        <f t="shared" si="0"/>
        <v>0.70182540065479837</v>
      </c>
      <c r="E18" s="10">
        <f t="shared" si="0"/>
        <v>0.70196910445505034</v>
      </c>
      <c r="F18" s="10">
        <f t="shared" si="0"/>
        <v>0.70317704330699526</v>
      </c>
      <c r="G18" s="10">
        <f t="shared" si="0"/>
        <v>0.70196910445505023</v>
      </c>
      <c r="H18" s="10">
        <f t="shared" si="0"/>
        <v>0.70180276866955182</v>
      </c>
      <c r="I18" s="10">
        <f t="shared" si="0"/>
        <v>0.70196910445505023</v>
      </c>
      <c r="J18" s="10">
        <f t="shared" si="0"/>
        <v>0.70200585556978967</v>
      </c>
      <c r="K18" s="10">
        <f t="shared" si="0"/>
        <v>0.70196910445505034</v>
      </c>
      <c r="L18" s="10">
        <f t="shared" si="0"/>
        <v>0.70199652525901635</v>
      </c>
      <c r="M18" s="10">
        <f t="shared" si="0"/>
        <v>0.70196910445505023</v>
      </c>
      <c r="N18" s="10">
        <f t="shared" si="0"/>
        <v>0.70215634305625751</v>
      </c>
      <c r="O18" s="10">
        <f t="shared" si="0"/>
        <v>0.70196910445505023</v>
      </c>
      <c r="P18" s="10">
        <f t="shared" si="0"/>
        <v>0.70215784930380454</v>
      </c>
      <c r="Q18" s="10">
        <f t="shared" si="0"/>
        <v>0.70196910445505023</v>
      </c>
      <c r="R18" s="10">
        <f t="shared" si="0"/>
        <v>0.70197052863536036</v>
      </c>
      <c r="S18" s="10">
        <f t="shared" si="0"/>
        <v>0.70196910445505023</v>
      </c>
      <c r="T18" s="10">
        <f t="shared" si="0"/>
        <v>0.70202643273803633</v>
      </c>
      <c r="U18" s="10">
        <f t="shared" si="0"/>
        <v>0.70501638915003351</v>
      </c>
      <c r="V18" s="10">
        <f t="shared" si="0"/>
        <v>0.70507275553475535</v>
      </c>
      <c r="W18" s="10">
        <f t="shared" si="0"/>
        <v>0.70196910445505023</v>
      </c>
      <c r="X18" s="10">
        <f t="shared" si="0"/>
        <v>0.70195975420540258</v>
      </c>
    </row>
    <row r="19" spans="1:24" x14ac:dyDescent="0.25">
      <c r="A19" s="9" t="s">
        <v>61</v>
      </c>
      <c r="B19" s="13"/>
      <c r="C19" s="10">
        <f t="shared" ref="C19:X19" si="1">IF(COUNT(C7:C16)&gt;=2,STDEV(C7:C16),"—")</f>
        <v>6.5753649596201669E-2</v>
      </c>
      <c r="D19" s="10">
        <f t="shared" si="1"/>
        <v>6.7127613339629882E-2</v>
      </c>
      <c r="E19" s="10">
        <f t="shared" si="1"/>
        <v>6.5753649596201585E-2</v>
      </c>
      <c r="F19" s="10">
        <f t="shared" si="1"/>
        <v>6.6871700938584869E-2</v>
      </c>
      <c r="G19" s="10">
        <f t="shared" si="1"/>
        <v>6.5753649596201447E-2</v>
      </c>
      <c r="H19" s="10">
        <f t="shared" si="1"/>
        <v>6.6185100203470543E-2</v>
      </c>
      <c r="I19" s="10">
        <f t="shared" si="1"/>
        <v>6.5753649596201683E-2</v>
      </c>
      <c r="J19" s="10">
        <f t="shared" si="1"/>
        <v>6.5741807706657898E-2</v>
      </c>
      <c r="K19" s="10">
        <f t="shared" si="1"/>
        <v>6.5753649596201599E-2</v>
      </c>
      <c r="L19" s="10">
        <f t="shared" si="1"/>
        <v>6.5782975105716013E-2</v>
      </c>
      <c r="M19" s="10">
        <f t="shared" si="1"/>
        <v>6.575364959620153E-2</v>
      </c>
      <c r="N19" s="10">
        <f t="shared" si="1"/>
        <v>6.5642700466466683E-2</v>
      </c>
      <c r="O19" s="10">
        <f t="shared" si="1"/>
        <v>6.5753649596201572E-2</v>
      </c>
      <c r="P19" s="10">
        <f t="shared" si="1"/>
        <v>6.5639123003269045E-2</v>
      </c>
      <c r="Q19" s="10">
        <f t="shared" si="1"/>
        <v>6.5753649596201572E-2</v>
      </c>
      <c r="R19" s="10">
        <f t="shared" si="1"/>
        <v>6.5754762935636341E-2</v>
      </c>
      <c r="S19" s="10">
        <f t="shared" si="1"/>
        <v>6.5753649596201558E-2</v>
      </c>
      <c r="T19" s="10">
        <f t="shared" si="1"/>
        <v>6.5466012635202589E-2</v>
      </c>
      <c r="U19" s="10">
        <f t="shared" si="1"/>
        <v>7.6401784085617624E-2</v>
      </c>
      <c r="V19" s="10">
        <f t="shared" si="1"/>
        <v>7.6380304981108524E-2</v>
      </c>
      <c r="W19" s="10">
        <f t="shared" si="1"/>
        <v>6.5753649596201572E-2</v>
      </c>
      <c r="X19" s="10">
        <f t="shared" si="1"/>
        <v>6.5763331155118343E-2</v>
      </c>
    </row>
    <row r="20" spans="1:24" x14ac:dyDescent="0.25">
      <c r="A20" s="9" t="s">
        <v>62</v>
      </c>
      <c r="B20" s="13"/>
      <c r="C20" s="10">
        <f t="shared" ref="C20:X20" si="2">IF(COUNT(C7:C16)&gt;=2,MIN(C7:C16),"—")</f>
        <v>0.56894889103182233</v>
      </c>
      <c r="D20" s="10">
        <f t="shared" si="2"/>
        <v>0.56458886510547157</v>
      </c>
      <c r="E20" s="10">
        <f t="shared" si="2"/>
        <v>0.56894889103182256</v>
      </c>
      <c r="F20" s="10">
        <f t="shared" si="2"/>
        <v>0.56939410979090588</v>
      </c>
      <c r="G20" s="10">
        <f t="shared" si="2"/>
        <v>0.56894889103182278</v>
      </c>
      <c r="H20" s="10">
        <f t="shared" si="2"/>
        <v>0.56748642819972339</v>
      </c>
      <c r="I20" s="10">
        <f t="shared" si="2"/>
        <v>0.56894889103182245</v>
      </c>
      <c r="J20" s="10">
        <f t="shared" si="2"/>
        <v>0.56902249812948891</v>
      </c>
      <c r="K20" s="10">
        <f t="shared" si="2"/>
        <v>0.56894889103182267</v>
      </c>
      <c r="L20" s="10">
        <f t="shared" si="2"/>
        <v>0.56929709891706848</v>
      </c>
      <c r="M20" s="10">
        <f t="shared" si="2"/>
        <v>0.56894889103182267</v>
      </c>
      <c r="N20" s="10">
        <f t="shared" si="2"/>
        <v>0.56962907421736741</v>
      </c>
      <c r="O20" s="10">
        <f t="shared" si="2"/>
        <v>0.56894889103182289</v>
      </c>
      <c r="P20" s="10">
        <f t="shared" si="2"/>
        <v>0.56886896531845743</v>
      </c>
      <c r="Q20" s="10">
        <f t="shared" si="2"/>
        <v>0.56894889103182256</v>
      </c>
      <c r="R20" s="10">
        <f t="shared" si="2"/>
        <v>0.56895039280473791</v>
      </c>
      <c r="S20" s="10">
        <f t="shared" si="2"/>
        <v>0.56894889103182245</v>
      </c>
      <c r="T20" s="10">
        <f t="shared" si="2"/>
        <v>0.57019608731781823</v>
      </c>
      <c r="U20" s="10">
        <f t="shared" si="2"/>
        <v>0.56894889103182256</v>
      </c>
      <c r="V20" s="10">
        <f t="shared" si="2"/>
        <v>0.5692412094484961</v>
      </c>
      <c r="W20" s="10">
        <f t="shared" si="2"/>
        <v>0.56894889103182267</v>
      </c>
      <c r="X20" s="10">
        <f t="shared" si="2"/>
        <v>0.56827235019727784</v>
      </c>
    </row>
    <row r="21" spans="1:24" x14ac:dyDescent="0.25">
      <c r="A21" s="9" t="s">
        <v>63</v>
      </c>
      <c r="B21" s="13"/>
      <c r="C21" s="10">
        <f t="shared" ref="C21:X21" si="3">IF(COUNT(C7:C16)&gt;=2,MAX(C7:C16),"—")</f>
        <v>0.80664062499999989</v>
      </c>
      <c r="D21" s="10">
        <f t="shared" si="3"/>
        <v>0.80834990237014215</v>
      </c>
      <c r="E21" s="10">
        <f t="shared" si="3"/>
        <v>0.806640625</v>
      </c>
      <c r="F21" s="10">
        <f t="shared" si="3"/>
        <v>0.81075325989108227</v>
      </c>
      <c r="G21" s="10">
        <f t="shared" si="3"/>
        <v>0.80664062499999956</v>
      </c>
      <c r="H21" s="10">
        <f t="shared" si="3"/>
        <v>0.8061646973073</v>
      </c>
      <c r="I21" s="10">
        <f t="shared" si="3"/>
        <v>0.80664062500000011</v>
      </c>
      <c r="J21" s="10">
        <f t="shared" si="3"/>
        <v>0.80659005278099472</v>
      </c>
      <c r="K21" s="10">
        <f t="shared" si="3"/>
        <v>0.80664062500000022</v>
      </c>
      <c r="L21" s="10">
        <f t="shared" si="3"/>
        <v>0.80715607271978351</v>
      </c>
      <c r="M21" s="10">
        <f t="shared" si="3"/>
        <v>0.80664062499999989</v>
      </c>
      <c r="N21" s="10">
        <f t="shared" si="3"/>
        <v>0.80686947207210702</v>
      </c>
      <c r="O21" s="10">
        <f t="shared" si="3"/>
        <v>0.806640625</v>
      </c>
      <c r="P21" s="10">
        <f t="shared" si="3"/>
        <v>0.80637640102273234</v>
      </c>
      <c r="Q21" s="10">
        <f t="shared" si="3"/>
        <v>0.806640625</v>
      </c>
      <c r="R21" s="10">
        <f t="shared" si="3"/>
        <v>0.80665307326900937</v>
      </c>
      <c r="S21" s="10">
        <f t="shared" si="3"/>
        <v>0.80664062499999956</v>
      </c>
      <c r="T21" s="10">
        <f t="shared" si="3"/>
        <v>0.80704898813619097</v>
      </c>
      <c r="U21" s="10">
        <f t="shared" si="3"/>
        <v>0.806640625</v>
      </c>
      <c r="V21" s="10">
        <f t="shared" si="3"/>
        <v>0.80710291090766439</v>
      </c>
      <c r="W21" s="10">
        <f t="shared" si="3"/>
        <v>0.806640625</v>
      </c>
      <c r="X21" s="10">
        <f t="shared" si="3"/>
        <v>0.80606388195296097</v>
      </c>
    </row>
  </sheetData>
  <mergeCells count="11"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M3:N3"/>
  </mergeCells>
  <conditionalFormatting sqref="C5:X16">
    <cfRule type="expression" dxfId="0" priority="3">
      <formula>ISTEXT(C5)</formula>
    </cfRule>
  </conditionalFormatting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300-000001000000}">
            <xm:f>AND(ISNUMBER(C5),ABS(C5-1)&lt;='Leia-me'!$B$6)</xm:f>
            <x14:dxf>
              <fill>
                <patternFill patternType="solid">
                  <fgColor rgb="FFC6EFCE"/>
                </patternFill>
              </fill>
            </x14:dxf>
          </x14:cfRule>
          <x14:cfRule type="expression" priority="2" id="{00000000-000E-0000-0300-000002000000}">
            <xm:f>AND(ISNUMBER(C5),ABS(C5-1)&gt;'Leia-me'!$B$6)</xm:f>
            <x14:dxf>
              <fill>
                <patternFill patternType="solid">
                  <fgColor rgb="FFFFC7CE"/>
                </patternFill>
              </fill>
            </x14:dxf>
          </x14:cfRule>
          <xm:sqref>C5:X16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8" customWidth="1"/>
  </cols>
  <sheetData>
    <row r="1" spans="1:26" ht="16.5" x14ac:dyDescent="0.25">
      <c r="A1" s="1" t="s">
        <v>67</v>
      </c>
    </row>
    <row r="2" spans="1:26" x14ac:dyDescent="0.25">
      <c r="A2" s="7" t="s">
        <v>68</v>
      </c>
    </row>
    <row r="3" spans="1:26" x14ac:dyDescent="0.25">
      <c r="A3" s="11"/>
      <c r="B3" s="11"/>
      <c r="C3" s="18" t="s">
        <v>69</v>
      </c>
      <c r="D3" s="19"/>
      <c r="E3" s="18" t="s">
        <v>70</v>
      </c>
      <c r="F3" s="19"/>
      <c r="G3" s="18" t="s">
        <v>71</v>
      </c>
      <c r="H3" s="19"/>
      <c r="I3" s="18" t="s">
        <v>72</v>
      </c>
      <c r="J3" s="19"/>
      <c r="K3" s="18" t="s">
        <v>73</v>
      </c>
      <c r="L3" s="19"/>
      <c r="M3" s="18" t="s">
        <v>74</v>
      </c>
      <c r="N3" s="19"/>
      <c r="O3" s="18" t="s">
        <v>75</v>
      </c>
      <c r="P3" s="19"/>
      <c r="Q3" s="18" t="s">
        <v>76</v>
      </c>
      <c r="R3" s="19"/>
      <c r="S3" s="18" t="s">
        <v>77</v>
      </c>
      <c r="T3" s="19"/>
      <c r="U3" s="18" t="s">
        <v>78</v>
      </c>
      <c r="V3" s="19"/>
      <c r="W3" s="18" t="s">
        <v>79</v>
      </c>
      <c r="X3" s="19"/>
      <c r="Y3" s="18" t="s">
        <v>80</v>
      </c>
      <c r="Z3" s="19"/>
    </row>
    <row r="4" spans="1:26" x14ac:dyDescent="0.25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46</v>
      </c>
      <c r="F4" s="14" t="s">
        <v>47</v>
      </c>
      <c r="G4" s="14" t="s">
        <v>46</v>
      </c>
      <c r="H4" s="14" t="s">
        <v>47</v>
      </c>
      <c r="I4" s="14" t="s">
        <v>46</v>
      </c>
      <c r="J4" s="14" t="s">
        <v>47</v>
      </c>
      <c r="K4" s="14" t="s">
        <v>46</v>
      </c>
      <c r="L4" s="14" t="s">
        <v>47</v>
      </c>
      <c r="M4" s="14" t="s">
        <v>46</v>
      </c>
      <c r="N4" s="14" t="s">
        <v>47</v>
      </c>
      <c r="O4" s="14" t="s">
        <v>46</v>
      </c>
      <c r="P4" s="14" t="s">
        <v>47</v>
      </c>
      <c r="Q4" s="14" t="s">
        <v>46</v>
      </c>
      <c r="R4" s="14" t="s">
        <v>47</v>
      </c>
      <c r="S4" s="14" t="s">
        <v>46</v>
      </c>
      <c r="T4" s="14" t="s">
        <v>47</v>
      </c>
      <c r="U4" s="14" t="s">
        <v>46</v>
      </c>
      <c r="V4" s="14" t="s">
        <v>47</v>
      </c>
      <c r="W4" s="14" t="s">
        <v>46</v>
      </c>
      <c r="X4" s="14" t="s">
        <v>47</v>
      </c>
      <c r="Y4" s="14" t="s">
        <v>46</v>
      </c>
      <c r="Z4" s="14" t="s">
        <v>47</v>
      </c>
    </row>
    <row r="5" spans="1:26" x14ac:dyDescent="0.25">
      <c r="A5" s="14" t="s">
        <v>48</v>
      </c>
      <c r="B5" s="11"/>
      <c r="C5" s="15">
        <v>266.18670416499299</v>
      </c>
      <c r="D5" s="11"/>
      <c r="E5" s="15">
        <v>111.1092815311772</v>
      </c>
      <c r="F5" s="11"/>
      <c r="G5" s="15">
        <v>41.823183893234493</v>
      </c>
      <c r="H5" s="11"/>
      <c r="I5" s="15">
        <v>48.904276935621724</v>
      </c>
      <c r="J5" s="11"/>
      <c r="K5" s="15">
        <v>37.096076469025093</v>
      </c>
      <c r="L5" s="11"/>
      <c r="M5" s="15">
        <v>0.72856499432694422</v>
      </c>
      <c r="N5" s="11"/>
      <c r="O5" s="15">
        <v>10.670178425957049</v>
      </c>
      <c r="P5" s="11"/>
      <c r="Q5" s="15">
        <v>7.8429950393445482</v>
      </c>
      <c r="R5" s="11"/>
      <c r="S5" s="15">
        <v>0.2272026751000974</v>
      </c>
      <c r="T5" s="11"/>
      <c r="U5" s="15">
        <v>1.177266071811703</v>
      </c>
      <c r="V5" s="11"/>
      <c r="W5" s="15">
        <v>5.4637811597980566</v>
      </c>
      <c r="X5" s="11"/>
      <c r="Y5" s="15">
        <v>12.822030113742059</v>
      </c>
      <c r="Z5" s="11"/>
    </row>
    <row r="6" spans="1:26" x14ac:dyDescent="0.25">
      <c r="A6" s="11" t="s">
        <v>49</v>
      </c>
      <c r="B6" s="11" t="s">
        <v>81</v>
      </c>
      <c r="C6" s="16">
        <v>2161</v>
      </c>
      <c r="D6" s="16">
        <v>218.19242922850179</v>
      </c>
      <c r="E6" s="16">
        <v>9600</v>
      </c>
      <c r="F6" s="16">
        <v>136.51808179934949</v>
      </c>
      <c r="G6" s="16">
        <v>6600</v>
      </c>
      <c r="H6" s="16">
        <v>60.878898748565547</v>
      </c>
      <c r="I6" s="16">
        <v>26760</v>
      </c>
      <c r="J6" s="16">
        <v>500.38159750166068</v>
      </c>
      <c r="K6" s="16">
        <v>50450</v>
      </c>
      <c r="L6" s="16">
        <v>569.59316645176648</v>
      </c>
      <c r="M6" s="16">
        <v>1.988</v>
      </c>
      <c r="N6" s="16">
        <v>0.48160587864670412</v>
      </c>
      <c r="O6" s="16">
        <v>246.3</v>
      </c>
      <c r="P6" s="16">
        <v>11.244381023940729</v>
      </c>
      <c r="Q6" s="16">
        <v>367.5</v>
      </c>
      <c r="R6" s="16">
        <v>8.5488429539171147</v>
      </c>
      <c r="S6" s="16">
        <v>1.5820000000000001</v>
      </c>
      <c r="T6" s="16">
        <v>0.24829873126971769</v>
      </c>
      <c r="U6" s="16">
        <v>4.7</v>
      </c>
      <c r="V6" s="16">
        <v>1.266171628316608</v>
      </c>
      <c r="W6" s="16">
        <v>30.94</v>
      </c>
      <c r="X6" s="16">
        <v>5.9123359704428031</v>
      </c>
      <c r="Y6" s="16">
        <v>1300</v>
      </c>
      <c r="Z6" s="16">
        <v>17.503292792938701</v>
      </c>
    </row>
    <row r="7" spans="1:26" x14ac:dyDescent="0.25">
      <c r="A7" s="11" t="s">
        <v>50</v>
      </c>
      <c r="B7" s="11" t="s">
        <v>82</v>
      </c>
      <c r="C7" s="16">
        <v>732.10137949404657</v>
      </c>
      <c r="D7" s="16">
        <v>88.632221892053195</v>
      </c>
      <c r="E7" s="16">
        <v>1604.1956592868</v>
      </c>
      <c r="F7" s="16">
        <v>41.13564727831502</v>
      </c>
      <c r="G7" s="16">
        <v>1016.321205225772</v>
      </c>
      <c r="H7" s="16">
        <v>17.744193662964019</v>
      </c>
      <c r="I7" s="16">
        <v>5574.5665702252591</v>
      </c>
      <c r="J7" s="16">
        <v>110.9189469256461</v>
      </c>
      <c r="K7" s="16">
        <v>1299.849335761601</v>
      </c>
      <c r="L7" s="16">
        <v>26.22753722275878</v>
      </c>
      <c r="M7" s="16">
        <v>7.9393398224157368</v>
      </c>
      <c r="N7" s="16">
        <v>1.3979398171084301</v>
      </c>
      <c r="O7" s="16">
        <v>118.6170558832455</v>
      </c>
      <c r="P7" s="16">
        <v>6.4344370469746606</v>
      </c>
      <c r="Q7" s="16">
        <v>3636.6028339760178</v>
      </c>
      <c r="R7" s="16">
        <v>67.669418876637124</v>
      </c>
      <c r="S7" s="16">
        <v>1.340846431875732</v>
      </c>
      <c r="T7" s="16">
        <v>0.1990354574487849</v>
      </c>
      <c r="U7" s="16">
        <v>3.111893962138093</v>
      </c>
      <c r="V7" s="16">
        <v>0.88100809701526039</v>
      </c>
      <c r="W7" s="16">
        <v>23.71416578333287</v>
      </c>
      <c r="X7" s="16">
        <v>4.3730616033119514</v>
      </c>
      <c r="Y7" s="16">
        <v>24.216681517607629</v>
      </c>
      <c r="Z7" s="16">
        <v>6.0363688379137459</v>
      </c>
    </row>
    <row r="8" spans="1:26" x14ac:dyDescent="0.25">
      <c r="A8" s="11" t="s">
        <v>51</v>
      </c>
      <c r="B8" s="11" t="s">
        <v>83</v>
      </c>
      <c r="C8" s="16">
        <v>927.64968446475496</v>
      </c>
      <c r="D8" s="16">
        <v>100.75894397979</v>
      </c>
      <c r="E8" s="16">
        <v>1537.749334685946</v>
      </c>
      <c r="F8" s="16">
        <v>42.312054978843911</v>
      </c>
      <c r="G8" s="16">
        <v>1777.3281186498641</v>
      </c>
      <c r="H8" s="16">
        <v>23.340192641388331</v>
      </c>
      <c r="I8" s="16">
        <v>5164.9554442557719</v>
      </c>
      <c r="J8" s="16">
        <v>104.2937559038813</v>
      </c>
      <c r="K8" s="16">
        <v>1698.1001197253829</v>
      </c>
      <c r="L8" s="16">
        <v>30.48125687823444</v>
      </c>
      <c r="M8" s="16">
        <v>8.4061528929929512</v>
      </c>
      <c r="N8" s="16">
        <v>1.4778645415620899</v>
      </c>
      <c r="O8" s="16">
        <v>110.9842216382858</v>
      </c>
      <c r="P8" s="16">
        <v>6.1939051086361756</v>
      </c>
      <c r="Q8" s="16">
        <v>2666.4788099318462</v>
      </c>
      <c r="R8" s="16">
        <v>49.856061156133713</v>
      </c>
      <c r="S8" s="16">
        <v>1.3144623206028641</v>
      </c>
      <c r="T8" s="16">
        <v>0.1943323390034383</v>
      </c>
      <c r="U8" s="16">
        <v>2.7721842274314898</v>
      </c>
      <c r="V8" s="16">
        <v>0.81653566709817216</v>
      </c>
      <c r="W8" s="16">
        <v>35.181050656916923</v>
      </c>
      <c r="X8" s="16">
        <v>5.6066079540649243</v>
      </c>
      <c r="Y8" s="16" t="s">
        <v>84</v>
      </c>
      <c r="Z8" s="16" t="s">
        <v>84</v>
      </c>
    </row>
    <row r="9" spans="1:26" x14ac:dyDescent="0.25">
      <c r="A9" s="11" t="s">
        <v>52</v>
      </c>
      <c r="B9" s="11" t="s">
        <v>85</v>
      </c>
      <c r="C9" s="16">
        <v>676.48551468365883</v>
      </c>
      <c r="D9" s="16">
        <v>88.050624226539981</v>
      </c>
      <c r="E9" s="16">
        <v>1596.489681642697</v>
      </c>
      <c r="F9" s="16">
        <v>42.531465693183257</v>
      </c>
      <c r="G9" s="16">
        <v>1384.6776787129591</v>
      </c>
      <c r="H9" s="16">
        <v>20.57357127010042</v>
      </c>
      <c r="I9" s="16">
        <v>7462.6706470742092</v>
      </c>
      <c r="J9" s="16">
        <v>144.98584348239771</v>
      </c>
      <c r="K9" s="16">
        <v>1439.397426026459</v>
      </c>
      <c r="L9" s="16">
        <v>28.040012942079471</v>
      </c>
      <c r="M9" s="16">
        <v>4.2946723890948491</v>
      </c>
      <c r="N9" s="16">
        <v>0.79230355571700795</v>
      </c>
      <c r="O9" s="16">
        <v>109.8398576406739</v>
      </c>
      <c r="P9" s="16">
        <v>6.1252509090435154</v>
      </c>
      <c r="Q9" s="16">
        <v>2299.6091625153522</v>
      </c>
      <c r="R9" s="16">
        <v>43.098060357570567</v>
      </c>
      <c r="S9" s="16">
        <v>1.071116340665657</v>
      </c>
      <c r="T9" s="16">
        <v>0.17441274088197731</v>
      </c>
      <c r="U9" s="16">
        <v>3.5195475837315491</v>
      </c>
      <c r="V9" s="16">
        <v>0.92264700817832312</v>
      </c>
      <c r="W9" s="16">
        <v>15.26847539852456</v>
      </c>
      <c r="X9" s="16">
        <v>3.5439613351567441</v>
      </c>
      <c r="Y9" s="16">
        <v>18.422965191412349</v>
      </c>
      <c r="Z9" s="16">
        <v>5.5879054913681099</v>
      </c>
    </row>
    <row r="10" spans="1:26" x14ac:dyDescent="0.25">
      <c r="A10" s="11" t="s">
        <v>53</v>
      </c>
      <c r="B10" s="11" t="s">
        <v>86</v>
      </c>
      <c r="C10" s="16">
        <v>842.61185551735934</v>
      </c>
      <c r="D10" s="16">
        <v>103.479238684504</v>
      </c>
      <c r="E10" s="16">
        <v>2124.7924786174322</v>
      </c>
      <c r="F10" s="16">
        <v>51.72685230614816</v>
      </c>
      <c r="G10" s="16">
        <v>1285.6809741439631</v>
      </c>
      <c r="H10" s="16">
        <v>21.924873579402298</v>
      </c>
      <c r="I10" s="16">
        <v>9087.0390705190839</v>
      </c>
      <c r="J10" s="16">
        <v>176.26278601953359</v>
      </c>
      <c r="K10" s="16">
        <v>1832.706791820656</v>
      </c>
      <c r="L10" s="16">
        <v>34.291292825116088</v>
      </c>
      <c r="M10" s="16">
        <v>8.5316367408463947</v>
      </c>
      <c r="N10" s="16">
        <v>1.507544648438403</v>
      </c>
      <c r="O10" s="16">
        <v>156.50500290215899</v>
      </c>
      <c r="P10" s="16">
        <v>7.996995570849216</v>
      </c>
      <c r="Q10" s="16">
        <v>4283.8730095127275</v>
      </c>
      <c r="R10" s="16">
        <v>79.740790070682181</v>
      </c>
      <c r="S10" s="16">
        <v>1.304499838616612</v>
      </c>
      <c r="T10" s="16">
        <v>0.20558343373835081</v>
      </c>
      <c r="U10" s="16">
        <v>2.6523080595890769</v>
      </c>
      <c r="V10" s="16">
        <v>0.87318523468334563</v>
      </c>
      <c r="W10" s="16">
        <v>17.512468839651849</v>
      </c>
      <c r="X10" s="16">
        <v>3.9835429140726362</v>
      </c>
      <c r="Y10" s="16">
        <v>22.783062155614399</v>
      </c>
      <c r="Z10" s="16">
        <v>6.2144756818805877</v>
      </c>
    </row>
    <row r="11" spans="1:26" x14ac:dyDescent="0.25">
      <c r="A11" s="11" t="s">
        <v>54</v>
      </c>
      <c r="B11" s="11" t="s">
        <v>87</v>
      </c>
      <c r="C11" s="16">
        <v>842.47120923868829</v>
      </c>
      <c r="D11" s="16">
        <v>103.47330516656361</v>
      </c>
      <c r="E11" s="16">
        <v>2135.8147322074469</v>
      </c>
      <c r="F11" s="16">
        <v>50.371441147045921</v>
      </c>
      <c r="G11" s="16">
        <v>1353.77490217319</v>
      </c>
      <c r="H11" s="16">
        <v>21.866659292664998</v>
      </c>
      <c r="I11" s="16">
        <v>9218.8267913897434</v>
      </c>
      <c r="J11" s="16">
        <v>177.98469799272951</v>
      </c>
      <c r="K11" s="16">
        <v>1780.45870538085</v>
      </c>
      <c r="L11" s="16">
        <v>33.029540747020057</v>
      </c>
      <c r="M11" s="16">
        <v>5.4570972048147732</v>
      </c>
      <c r="N11" s="16">
        <v>0.99680192989723926</v>
      </c>
      <c r="O11" s="16">
        <v>185.83870714718319</v>
      </c>
      <c r="P11" s="16">
        <v>8.8970348062560607</v>
      </c>
      <c r="Q11" s="16">
        <v>4828.3016104280096</v>
      </c>
      <c r="R11" s="16">
        <v>89.70269680454993</v>
      </c>
      <c r="S11" s="16">
        <v>1.241019364726911</v>
      </c>
      <c r="T11" s="16">
        <v>0.20395390807591529</v>
      </c>
      <c r="U11" s="16">
        <v>4.3198502128262328</v>
      </c>
      <c r="V11" s="16">
        <v>1.1156631992636501</v>
      </c>
      <c r="W11" s="16">
        <v>23.485440415207488</v>
      </c>
      <c r="X11" s="16">
        <v>4.6529845910351746</v>
      </c>
      <c r="Y11" s="16">
        <v>20.535022808792629</v>
      </c>
      <c r="Z11" s="16">
        <v>6.749695701904729</v>
      </c>
    </row>
    <row r="12" spans="1:26" x14ac:dyDescent="0.25">
      <c r="A12" s="11" t="s">
        <v>55</v>
      </c>
      <c r="B12" s="11" t="s">
        <v>88</v>
      </c>
      <c r="C12" s="16">
        <v>933.08128241684483</v>
      </c>
      <c r="D12" s="16">
        <v>101.01846475515769</v>
      </c>
      <c r="E12" s="16">
        <v>1612.680307637746</v>
      </c>
      <c r="F12" s="16">
        <v>43.308283606851688</v>
      </c>
      <c r="G12" s="16">
        <v>1711.8749875013409</v>
      </c>
      <c r="H12" s="16">
        <v>22.909682752879799</v>
      </c>
      <c r="I12" s="16">
        <v>5664.0533721508336</v>
      </c>
      <c r="J12" s="16">
        <v>112.7707627408508</v>
      </c>
      <c r="K12" s="16">
        <v>1273.4422746126779</v>
      </c>
      <c r="L12" s="16">
        <v>26.259517975298429</v>
      </c>
      <c r="M12" s="16">
        <v>4.2071014036937289</v>
      </c>
      <c r="N12" s="16">
        <v>0.7754858969858005</v>
      </c>
      <c r="O12" s="16">
        <v>138.40493793247131</v>
      </c>
      <c r="P12" s="16">
        <v>6.9177086850525766</v>
      </c>
      <c r="Q12" s="16">
        <v>2399.4857232564682</v>
      </c>
      <c r="R12" s="16">
        <v>44.926088484674288</v>
      </c>
      <c r="S12" s="16">
        <v>0.80468218325363383</v>
      </c>
      <c r="T12" s="16">
        <v>0.14768594228270879</v>
      </c>
      <c r="U12" s="16">
        <v>2.4241143980220881</v>
      </c>
      <c r="V12" s="16">
        <v>0.74113755084508481</v>
      </c>
      <c r="W12" s="16">
        <v>17.61954954523237</v>
      </c>
      <c r="X12" s="16">
        <v>3.5453268306462369</v>
      </c>
      <c r="Y12" s="16">
        <v>16.092736341972639</v>
      </c>
      <c r="Z12" s="16">
        <v>5.0066410819484526</v>
      </c>
    </row>
    <row r="13" spans="1:26" x14ac:dyDescent="0.25">
      <c r="A13" s="11" t="s">
        <v>56</v>
      </c>
      <c r="B13" s="11" t="s">
        <v>89</v>
      </c>
      <c r="C13" s="16">
        <v>952.81927329636721</v>
      </c>
      <c r="D13" s="16">
        <v>105.1085459054722</v>
      </c>
      <c r="E13" s="16">
        <v>1494.6303788087521</v>
      </c>
      <c r="F13" s="16">
        <v>42.877934926951589</v>
      </c>
      <c r="G13" s="16">
        <v>1403.4624526606981</v>
      </c>
      <c r="H13" s="16">
        <v>21.769517807779881</v>
      </c>
      <c r="I13" s="16">
        <v>6484.535785256774</v>
      </c>
      <c r="J13" s="16">
        <v>128.44441824415409</v>
      </c>
      <c r="K13" s="16">
        <v>1325.5144077426221</v>
      </c>
      <c r="L13" s="16">
        <v>28.113341547143332</v>
      </c>
      <c r="M13" s="16">
        <v>9.5073993227404632</v>
      </c>
      <c r="N13" s="16">
        <v>1.668437383515228</v>
      </c>
      <c r="O13" s="16">
        <v>202.7941673972696</v>
      </c>
      <c r="P13" s="16">
        <v>9.3611952653073072</v>
      </c>
      <c r="Q13" s="16">
        <v>4631.6506896129649</v>
      </c>
      <c r="R13" s="16">
        <v>86.064891562539771</v>
      </c>
      <c r="S13" s="16">
        <v>1.520355638209743</v>
      </c>
      <c r="T13" s="16">
        <v>0.22056025732824999</v>
      </c>
      <c r="U13" s="16">
        <v>3.703648818109782</v>
      </c>
      <c r="V13" s="16">
        <v>0.9906446481867458</v>
      </c>
      <c r="W13" s="16">
        <v>20.487934795768751</v>
      </c>
      <c r="X13" s="16">
        <v>4.1884882780022687</v>
      </c>
      <c r="Y13" s="16">
        <v>24.93248711187195</v>
      </c>
      <c r="Z13" s="16">
        <v>6.2598724344585772</v>
      </c>
    </row>
    <row r="14" spans="1:26" x14ac:dyDescent="0.25">
      <c r="A14" s="11" t="s">
        <v>57</v>
      </c>
      <c r="B14" s="11" t="s">
        <v>90</v>
      </c>
      <c r="C14" s="16">
        <v>1333.5513787339521</v>
      </c>
      <c r="D14" s="16">
        <v>137.54610441272601</v>
      </c>
      <c r="E14" s="16">
        <v>2296.946477169693</v>
      </c>
      <c r="F14" s="16">
        <v>55.255924542114663</v>
      </c>
      <c r="G14" s="16">
        <v>2325.3444255678878</v>
      </c>
      <c r="H14" s="16">
        <v>29.516963309964119</v>
      </c>
      <c r="I14" s="16">
        <v>10857.11261087823</v>
      </c>
      <c r="J14" s="16">
        <v>208.26347383334789</v>
      </c>
      <c r="K14" s="16">
        <v>1457.844758814437</v>
      </c>
      <c r="L14" s="16">
        <v>31.215578107394919</v>
      </c>
      <c r="M14" s="16">
        <v>8.8199254857562206</v>
      </c>
      <c r="N14" s="16">
        <v>1.560221397243517</v>
      </c>
      <c r="O14" s="16">
        <v>220.66205410036949</v>
      </c>
      <c r="P14" s="16">
        <v>10.284916060900301</v>
      </c>
      <c r="Q14" s="16">
        <v>7220.1114125965687</v>
      </c>
      <c r="R14" s="16">
        <v>133.7757154822599</v>
      </c>
      <c r="S14" s="16">
        <v>1.755211318150095</v>
      </c>
      <c r="T14" s="16">
        <v>0.25352805418151592</v>
      </c>
      <c r="U14" s="16">
        <v>4.5314934839294274</v>
      </c>
      <c r="V14" s="16">
        <v>1.1775170785527329</v>
      </c>
      <c r="W14" s="16">
        <v>27.789137825526051</v>
      </c>
      <c r="X14" s="16">
        <v>5.2316383409302558</v>
      </c>
      <c r="Y14" s="16">
        <v>33.886825795071132</v>
      </c>
      <c r="Z14" s="16">
        <v>7.6026551739728596</v>
      </c>
    </row>
    <row r="15" spans="1:26" x14ac:dyDescent="0.25">
      <c r="A15" s="11" t="s">
        <v>58</v>
      </c>
      <c r="B15" s="11" t="s">
        <v>91</v>
      </c>
      <c r="C15" s="16">
        <v>1220.4912027850619</v>
      </c>
      <c r="D15" s="16">
        <v>122.8947705292544</v>
      </c>
      <c r="E15" s="16">
        <v>1707.009521622776</v>
      </c>
      <c r="F15" s="16">
        <v>45.811696955364653</v>
      </c>
      <c r="G15" s="16">
        <v>1373.9905650782009</v>
      </c>
      <c r="H15" s="16">
        <v>21.459046860952281</v>
      </c>
      <c r="I15" s="16">
        <v>7210.1271816636172</v>
      </c>
      <c r="J15" s="16">
        <v>141.3452153275181</v>
      </c>
      <c r="K15" s="16">
        <v>1879.964904310993</v>
      </c>
      <c r="L15" s="16">
        <v>33.166914467527377</v>
      </c>
      <c r="M15" s="16">
        <v>9.2956227798550835</v>
      </c>
      <c r="N15" s="16">
        <v>1.6336826110829969</v>
      </c>
      <c r="O15" s="16">
        <v>151.48731977022089</v>
      </c>
      <c r="P15" s="16">
        <v>7.7478895085318218</v>
      </c>
      <c r="Q15" s="16">
        <v>6106.3323454606216</v>
      </c>
      <c r="R15" s="16">
        <v>113.1735663923417</v>
      </c>
      <c r="S15" s="16">
        <v>1.597119660254029</v>
      </c>
      <c r="T15" s="16">
        <v>0.23023408553081701</v>
      </c>
      <c r="U15" s="16">
        <v>4.1993505356478984</v>
      </c>
      <c r="V15" s="16">
        <v>1.076355297383973</v>
      </c>
      <c r="W15" s="16">
        <v>16.192586995347469</v>
      </c>
      <c r="X15" s="16">
        <v>3.8970513690948798</v>
      </c>
      <c r="Y15" s="16">
        <v>23.449874446401779</v>
      </c>
      <c r="Z15" s="16">
        <v>6.5272768080270209</v>
      </c>
    </row>
    <row r="16" spans="1:26" x14ac:dyDescent="0.25">
      <c r="A16" s="11" t="s">
        <v>59</v>
      </c>
      <c r="B16" s="11" t="s">
        <v>92</v>
      </c>
      <c r="C16" s="16">
        <v>1361.912673775957</v>
      </c>
      <c r="D16" s="16">
        <v>128.9941554147303</v>
      </c>
      <c r="E16" s="16">
        <v>1267.4416001462409</v>
      </c>
      <c r="F16" s="16">
        <v>40.662071042846783</v>
      </c>
      <c r="G16" s="16">
        <v>939.18195056281604</v>
      </c>
      <c r="H16" s="16">
        <v>18.276316596800719</v>
      </c>
      <c r="I16" s="16">
        <v>6092.5220727327178</v>
      </c>
      <c r="J16" s="16">
        <v>121.482678496601</v>
      </c>
      <c r="K16" s="16">
        <v>1658.36909171569</v>
      </c>
      <c r="L16" s="16">
        <v>30.939404519608448</v>
      </c>
      <c r="M16" s="16">
        <v>11.93557646182035</v>
      </c>
      <c r="N16" s="16">
        <v>2.0815383764107249</v>
      </c>
      <c r="O16" s="16">
        <v>265.98882429856269</v>
      </c>
      <c r="P16" s="16">
        <v>11.613201849272279</v>
      </c>
      <c r="Q16" s="16">
        <v>6779.3238439953757</v>
      </c>
      <c r="R16" s="16">
        <v>125.5906307286745</v>
      </c>
      <c r="S16" s="16">
        <v>1.7802597316113551</v>
      </c>
      <c r="T16" s="16">
        <v>0.24886180958173451</v>
      </c>
      <c r="U16" s="16">
        <v>3.49580694646493</v>
      </c>
      <c r="V16" s="16">
        <v>0.99353027824534801</v>
      </c>
      <c r="W16" s="16">
        <v>17.59851590139866</v>
      </c>
      <c r="X16" s="16">
        <v>4.1118303376904084</v>
      </c>
      <c r="Y16" s="16">
        <v>30.85552335155824</v>
      </c>
      <c r="Z16" s="16">
        <v>7.0657415005278423</v>
      </c>
    </row>
  </sheetData>
  <mergeCells count="12">
    <mergeCell ref="M3:N3"/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Y3:Z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8" customWidth="1"/>
  </cols>
  <sheetData>
    <row r="1" spans="1:26" ht="16.5" x14ac:dyDescent="0.25">
      <c r="A1" s="1" t="s">
        <v>93</v>
      </c>
    </row>
    <row r="2" spans="1:26" x14ac:dyDescent="0.25">
      <c r="A2" s="7" t="s">
        <v>94</v>
      </c>
    </row>
    <row r="3" spans="1:26" x14ac:dyDescent="0.25">
      <c r="A3" s="11"/>
      <c r="B3" s="11"/>
      <c r="C3" s="18" t="s">
        <v>69</v>
      </c>
      <c r="D3" s="19"/>
      <c r="E3" s="18" t="s">
        <v>70</v>
      </c>
      <c r="F3" s="19"/>
      <c r="G3" s="18" t="s">
        <v>71</v>
      </c>
      <c r="H3" s="19"/>
      <c r="I3" s="18" t="s">
        <v>72</v>
      </c>
      <c r="J3" s="19"/>
      <c r="K3" s="18" t="s">
        <v>73</v>
      </c>
      <c r="L3" s="19"/>
      <c r="M3" s="18" t="s">
        <v>74</v>
      </c>
      <c r="N3" s="19"/>
      <c r="O3" s="18" t="s">
        <v>75</v>
      </c>
      <c r="P3" s="19"/>
      <c r="Q3" s="18" t="s">
        <v>76</v>
      </c>
      <c r="R3" s="19"/>
      <c r="S3" s="18" t="s">
        <v>77</v>
      </c>
      <c r="T3" s="19"/>
      <c r="U3" s="18" t="s">
        <v>78</v>
      </c>
      <c r="V3" s="19"/>
      <c r="W3" s="18" t="s">
        <v>79</v>
      </c>
      <c r="X3" s="19"/>
      <c r="Y3" s="18" t="s">
        <v>80</v>
      </c>
      <c r="Z3" s="19"/>
    </row>
    <row r="4" spans="1:26" x14ac:dyDescent="0.25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46</v>
      </c>
      <c r="F4" s="14" t="s">
        <v>47</v>
      </c>
      <c r="G4" s="14" t="s">
        <v>46</v>
      </c>
      <c r="H4" s="14" t="s">
        <v>47</v>
      </c>
      <c r="I4" s="14" t="s">
        <v>46</v>
      </c>
      <c r="J4" s="14" t="s">
        <v>47</v>
      </c>
      <c r="K4" s="14" t="s">
        <v>46</v>
      </c>
      <c r="L4" s="14" t="s">
        <v>47</v>
      </c>
      <c r="M4" s="14" t="s">
        <v>46</v>
      </c>
      <c r="N4" s="14" t="s">
        <v>47</v>
      </c>
      <c r="O4" s="14" t="s">
        <v>46</v>
      </c>
      <c r="P4" s="14" t="s">
        <v>47</v>
      </c>
      <c r="Q4" s="14" t="s">
        <v>46</v>
      </c>
      <c r="R4" s="14" t="s">
        <v>47</v>
      </c>
      <c r="S4" s="14" t="s">
        <v>46</v>
      </c>
      <c r="T4" s="14" t="s">
        <v>47</v>
      </c>
      <c r="U4" s="14" t="s">
        <v>46</v>
      </c>
      <c r="V4" s="14" t="s">
        <v>47</v>
      </c>
      <c r="W4" s="14" t="s">
        <v>46</v>
      </c>
      <c r="X4" s="14" t="s">
        <v>47</v>
      </c>
      <c r="Y4" s="14" t="s">
        <v>46</v>
      </c>
      <c r="Z4" s="14" t="s">
        <v>47</v>
      </c>
    </row>
    <row r="5" spans="1:26" x14ac:dyDescent="0.25">
      <c r="A5" s="14" t="s">
        <v>48</v>
      </c>
      <c r="B5" s="11"/>
      <c r="C5" s="15">
        <v>301.56523536019739</v>
      </c>
      <c r="D5" s="11"/>
      <c r="E5" s="15">
        <v>111.1092815311772</v>
      </c>
      <c r="F5" s="11"/>
      <c r="G5" s="15">
        <v>41.823183893234493</v>
      </c>
      <c r="H5" s="11"/>
      <c r="I5" s="15">
        <v>48.904276935621724</v>
      </c>
      <c r="J5" s="11"/>
      <c r="K5" s="15">
        <v>37.096076469025093</v>
      </c>
      <c r="L5" s="11"/>
      <c r="M5" s="15">
        <v>0.72856499432694422</v>
      </c>
      <c r="N5" s="11"/>
      <c r="O5" s="15">
        <v>10.670178425957049</v>
      </c>
      <c r="P5" s="11"/>
      <c r="Q5" s="15">
        <v>7.8429950393445482</v>
      </c>
      <c r="R5" s="11"/>
      <c r="S5" s="15">
        <v>0.23408025632246141</v>
      </c>
      <c r="T5" s="11"/>
      <c r="U5" s="15">
        <v>1.177266071811703</v>
      </c>
      <c r="V5" s="11"/>
      <c r="W5" s="15">
        <v>5.7302812617422827</v>
      </c>
      <c r="X5" s="11"/>
      <c r="Y5" s="15">
        <v>12.822030113742059</v>
      </c>
      <c r="Z5" s="11"/>
    </row>
    <row r="6" spans="1:26" x14ac:dyDescent="0.25">
      <c r="A6" s="11" t="s">
        <v>49</v>
      </c>
      <c r="B6" s="11" t="s">
        <v>95</v>
      </c>
      <c r="C6" s="16">
        <v>2161</v>
      </c>
      <c r="D6" s="16">
        <v>216.38839195445479</v>
      </c>
      <c r="E6" s="16">
        <v>9600</v>
      </c>
      <c r="F6" s="16">
        <v>136.51808179934949</v>
      </c>
      <c r="G6" s="16">
        <v>6600</v>
      </c>
      <c r="H6" s="16">
        <v>60.878898748565547</v>
      </c>
      <c r="I6" s="16">
        <v>26760</v>
      </c>
      <c r="J6" s="16">
        <v>500.38159750166068</v>
      </c>
      <c r="K6" s="16">
        <v>50450</v>
      </c>
      <c r="L6" s="16">
        <v>569.59316645176648</v>
      </c>
      <c r="M6" s="16">
        <v>1.988</v>
      </c>
      <c r="N6" s="16">
        <v>0.48160587864670412</v>
      </c>
      <c r="O6" s="16">
        <v>246.3</v>
      </c>
      <c r="P6" s="16">
        <v>11.244381023940729</v>
      </c>
      <c r="Q6" s="16">
        <v>367.5</v>
      </c>
      <c r="R6" s="16">
        <v>8.5488429539171147</v>
      </c>
      <c r="S6" s="16">
        <v>1.5820000000000001</v>
      </c>
      <c r="T6" s="16">
        <v>0.24829873126971769</v>
      </c>
      <c r="U6" s="16">
        <v>4.7</v>
      </c>
      <c r="V6" s="16">
        <v>1.266171628316608</v>
      </c>
      <c r="W6" s="16">
        <v>30.94</v>
      </c>
      <c r="X6" s="16">
        <v>5.9123359704428031</v>
      </c>
      <c r="Y6" s="16">
        <v>1300</v>
      </c>
      <c r="Z6" s="16">
        <v>17.503292792938701</v>
      </c>
    </row>
    <row r="7" spans="1:26" x14ac:dyDescent="0.25">
      <c r="A7" s="11" t="s">
        <v>50</v>
      </c>
      <c r="B7" s="11" t="s">
        <v>82</v>
      </c>
      <c r="C7" s="16">
        <v>732.10137949404657</v>
      </c>
      <c r="D7" s="16">
        <v>88.135167683787031</v>
      </c>
      <c r="E7" s="16">
        <v>1604.1956592868</v>
      </c>
      <c r="F7" s="16">
        <v>41.054099021358347</v>
      </c>
      <c r="G7" s="16">
        <v>1016.321205225772</v>
      </c>
      <c r="H7" s="16">
        <v>17.78654093787193</v>
      </c>
      <c r="I7" s="16">
        <v>5574.5665702252591</v>
      </c>
      <c r="J7" s="16">
        <v>110.92721495130441</v>
      </c>
      <c r="K7" s="16">
        <v>1299.849335761601</v>
      </c>
      <c r="L7" s="16">
        <v>26.159915164812311</v>
      </c>
      <c r="M7" s="16">
        <v>7.9393398224157368</v>
      </c>
      <c r="N7" s="16">
        <v>1.39798959411448</v>
      </c>
      <c r="O7" s="16">
        <v>118.6170558832455</v>
      </c>
      <c r="P7" s="16">
        <v>6.4241071857135346</v>
      </c>
      <c r="Q7" s="16">
        <v>3636.6028339760178</v>
      </c>
      <c r="R7" s="16">
        <v>67.670830515770959</v>
      </c>
      <c r="S7" s="16">
        <v>1.340846431875732</v>
      </c>
      <c r="T7" s="16">
        <v>0.19912992965924831</v>
      </c>
      <c r="U7" s="16">
        <v>3.111893962138093</v>
      </c>
      <c r="V7" s="16">
        <v>0.88009170825016003</v>
      </c>
      <c r="W7" s="16">
        <v>23.71416578333287</v>
      </c>
      <c r="X7" s="16">
        <v>4.3752965830547312</v>
      </c>
      <c r="Y7" s="16">
        <v>24.216681517607629</v>
      </c>
      <c r="Z7" s="16">
        <v>6.0190179275674529</v>
      </c>
    </row>
    <row r="8" spans="1:26" x14ac:dyDescent="0.25">
      <c r="A8" s="11" t="s">
        <v>51</v>
      </c>
      <c r="B8" s="11" t="s">
        <v>83</v>
      </c>
      <c r="C8" s="16">
        <v>927.64968446475496</v>
      </c>
      <c r="D8" s="16">
        <v>99.98239585201425</v>
      </c>
      <c r="E8" s="16">
        <v>1537.749334685946</v>
      </c>
      <c r="F8" s="16">
        <v>42.055568568923547</v>
      </c>
      <c r="G8" s="16">
        <v>1777.3281186498641</v>
      </c>
      <c r="H8" s="16">
        <v>23.34048002484019</v>
      </c>
      <c r="I8" s="16">
        <v>5164.9554442557719</v>
      </c>
      <c r="J8" s="16">
        <v>104.35048406505121</v>
      </c>
      <c r="K8" s="16">
        <v>1698.1001197253829</v>
      </c>
      <c r="L8" s="16">
        <v>30.473338763792551</v>
      </c>
      <c r="M8" s="16">
        <v>8.4061528929929512</v>
      </c>
      <c r="N8" s="16">
        <v>1.478032726901461</v>
      </c>
      <c r="O8" s="16">
        <v>110.9842216382858</v>
      </c>
      <c r="P8" s="16">
        <v>6.199296134791747</v>
      </c>
      <c r="Q8" s="16">
        <v>2666.4788099318462</v>
      </c>
      <c r="R8" s="16">
        <v>49.856913736596638</v>
      </c>
      <c r="S8" s="16">
        <v>1.3144623206028641</v>
      </c>
      <c r="T8" s="16">
        <v>0.19407617305733429</v>
      </c>
      <c r="U8" s="16">
        <v>2.7721842274314898</v>
      </c>
      <c r="V8" s="16">
        <v>0.81525810568950852</v>
      </c>
      <c r="W8" s="16">
        <v>35.181050656916923</v>
      </c>
      <c r="X8" s="16">
        <v>5.6011701299087902</v>
      </c>
      <c r="Y8" s="16" t="s">
        <v>96</v>
      </c>
      <c r="Z8" s="16" t="s">
        <v>96</v>
      </c>
    </row>
    <row r="9" spans="1:26" x14ac:dyDescent="0.25">
      <c r="A9" s="11" t="s">
        <v>52</v>
      </c>
      <c r="B9" s="11" t="s">
        <v>85</v>
      </c>
      <c r="C9" s="16">
        <v>676.48551468365883</v>
      </c>
      <c r="D9" s="16">
        <v>87.322029260323475</v>
      </c>
      <c r="E9" s="16">
        <v>1596.489681642697</v>
      </c>
      <c r="F9" s="16">
        <v>42.663491420622428</v>
      </c>
      <c r="G9" s="16">
        <v>1384.6776787129591</v>
      </c>
      <c r="H9" s="16">
        <v>20.462493513517639</v>
      </c>
      <c r="I9" s="16">
        <v>7462.6706470742092</v>
      </c>
      <c r="J9" s="16">
        <v>144.97885089366159</v>
      </c>
      <c r="K9" s="16">
        <v>1439.397426026459</v>
      </c>
      <c r="L9" s="16">
        <v>28.03013938123658</v>
      </c>
      <c r="M9" s="16">
        <v>4.2946723890948491</v>
      </c>
      <c r="N9" s="16">
        <v>0.79280540970510094</v>
      </c>
      <c r="O9" s="16">
        <v>109.8398576406739</v>
      </c>
      <c r="P9" s="16">
        <v>6.1208288604597421</v>
      </c>
      <c r="Q9" s="16">
        <v>2299.6091625153522</v>
      </c>
      <c r="R9" s="16">
        <v>43.096840810593577</v>
      </c>
      <c r="S9" s="16">
        <v>1.071116340665657</v>
      </c>
      <c r="T9" s="16">
        <v>0.17465751765841661</v>
      </c>
      <c r="U9" s="16">
        <v>3.5195475837315491</v>
      </c>
      <c r="V9" s="16">
        <v>0.92244583890443133</v>
      </c>
      <c r="W9" s="16">
        <v>15.26847539852456</v>
      </c>
      <c r="X9" s="16">
        <v>3.550221895759182</v>
      </c>
      <c r="Y9" s="16">
        <v>18.422965191412349</v>
      </c>
      <c r="Z9" s="16">
        <v>5.5931678351607754</v>
      </c>
    </row>
    <row r="10" spans="1:26" x14ac:dyDescent="0.25">
      <c r="A10" s="11" t="s">
        <v>53</v>
      </c>
      <c r="B10" s="11" t="s">
        <v>86</v>
      </c>
      <c r="C10" s="16">
        <v>842.61185551735934</v>
      </c>
      <c r="D10" s="16">
        <v>102.9468996657165</v>
      </c>
      <c r="E10" s="16">
        <v>2124.7924786174322</v>
      </c>
      <c r="F10" s="16">
        <v>51.663457127284254</v>
      </c>
      <c r="G10" s="16">
        <v>1285.6809741439631</v>
      </c>
      <c r="H10" s="16">
        <v>21.93726176631105</v>
      </c>
      <c r="I10" s="16">
        <v>9087.0390705190839</v>
      </c>
      <c r="J10" s="16">
        <v>176.21696457565969</v>
      </c>
      <c r="K10" s="16">
        <v>1832.706791820656</v>
      </c>
      <c r="L10" s="16">
        <v>34.28202741459949</v>
      </c>
      <c r="M10" s="16">
        <v>8.5316367408463947</v>
      </c>
      <c r="N10" s="16">
        <v>1.5077585286592841</v>
      </c>
      <c r="O10" s="16">
        <v>156.50500290215899</v>
      </c>
      <c r="P10" s="16">
        <v>7.9993339139383908</v>
      </c>
      <c r="Q10" s="16">
        <v>4283.8730095127275</v>
      </c>
      <c r="R10" s="16">
        <v>79.740034368496666</v>
      </c>
      <c r="S10" s="16">
        <v>1.304499838616612</v>
      </c>
      <c r="T10" s="16">
        <v>0.20567887788195019</v>
      </c>
      <c r="U10" s="16">
        <v>2.6523080595890769</v>
      </c>
      <c r="V10" s="16">
        <v>0.87189343591435009</v>
      </c>
      <c r="W10" s="16">
        <v>17.512468839651849</v>
      </c>
      <c r="X10" s="16">
        <v>3.9799975779320742</v>
      </c>
      <c r="Y10" s="16">
        <v>22.783062155614399</v>
      </c>
      <c r="Z10" s="16">
        <v>6.2244118170984537</v>
      </c>
    </row>
    <row r="11" spans="1:26" x14ac:dyDescent="0.25">
      <c r="A11" s="11" t="s">
        <v>54</v>
      </c>
      <c r="B11" s="11" t="s">
        <v>87</v>
      </c>
      <c r="C11" s="16">
        <v>842.47120923868829</v>
      </c>
      <c r="D11" s="16">
        <v>102.5338143925206</v>
      </c>
      <c r="E11" s="16">
        <v>2135.8147322074469</v>
      </c>
      <c r="F11" s="16">
        <v>50.564107007738073</v>
      </c>
      <c r="G11" s="16">
        <v>1353.77490217319</v>
      </c>
      <c r="H11" s="16">
        <v>21.811905991427668</v>
      </c>
      <c r="I11" s="16">
        <v>9218.8267913897434</v>
      </c>
      <c r="J11" s="16">
        <v>178.0255602360632</v>
      </c>
      <c r="K11" s="16">
        <v>1780.45870538085</v>
      </c>
      <c r="L11" s="16">
        <v>33.050643075649987</v>
      </c>
      <c r="M11" s="16">
        <v>5.4570972048147732</v>
      </c>
      <c r="N11" s="16">
        <v>0.99640202859278593</v>
      </c>
      <c r="O11" s="16">
        <v>185.83870714718319</v>
      </c>
      <c r="P11" s="16">
        <v>8.913077771585181</v>
      </c>
      <c r="Q11" s="16">
        <v>4828.3016104280096</v>
      </c>
      <c r="R11" s="16">
        <v>89.703558826669067</v>
      </c>
      <c r="S11" s="16">
        <v>1.241019364726911</v>
      </c>
      <c r="T11" s="16">
        <v>0.20362972247149</v>
      </c>
      <c r="U11" s="16">
        <v>4.3198502128262328</v>
      </c>
      <c r="V11" s="16">
        <v>1.1141643468533471</v>
      </c>
      <c r="W11" s="16">
        <v>23.485440415207488</v>
      </c>
      <c r="X11" s="16">
        <v>4.6455983026675138</v>
      </c>
      <c r="Y11" s="16">
        <v>20.535022808792629</v>
      </c>
      <c r="Z11" s="16">
        <v>6.7510897734396353</v>
      </c>
    </row>
    <row r="12" spans="1:26" x14ac:dyDescent="0.25">
      <c r="A12" s="11" t="s">
        <v>55</v>
      </c>
      <c r="B12" s="11" t="s">
        <v>88</v>
      </c>
      <c r="C12" s="16">
        <v>933.08128241684483</v>
      </c>
      <c r="D12" s="16">
        <v>100.3188624379533</v>
      </c>
      <c r="E12" s="16">
        <v>1612.680307637746</v>
      </c>
      <c r="F12" s="16">
        <v>43.211033076488008</v>
      </c>
      <c r="G12" s="16">
        <v>1711.8749875013409</v>
      </c>
      <c r="H12" s="16">
        <v>22.802871454714829</v>
      </c>
      <c r="I12" s="16">
        <v>5664.0533721508336</v>
      </c>
      <c r="J12" s="16">
        <v>112.80172280822789</v>
      </c>
      <c r="K12" s="16">
        <v>1273.4422746126779</v>
      </c>
      <c r="L12" s="16">
        <v>26.30671017013762</v>
      </c>
      <c r="M12" s="16">
        <v>4.2071014036937289</v>
      </c>
      <c r="N12" s="16">
        <v>0.7751411948694602</v>
      </c>
      <c r="O12" s="16">
        <v>138.40493793247131</v>
      </c>
      <c r="P12" s="16">
        <v>6.902601962009836</v>
      </c>
      <c r="Q12" s="16">
        <v>2399.4857232564682</v>
      </c>
      <c r="R12" s="16">
        <v>44.928933149110193</v>
      </c>
      <c r="S12" s="16">
        <v>0.80468218325363383</v>
      </c>
      <c r="T12" s="16">
        <v>0.14760990211688621</v>
      </c>
      <c r="U12" s="16">
        <v>2.4241143980220881</v>
      </c>
      <c r="V12" s="16">
        <v>0.74282429266053185</v>
      </c>
      <c r="W12" s="16">
        <v>17.61954954523237</v>
      </c>
      <c r="X12" s="16">
        <v>3.5411580046025359</v>
      </c>
      <c r="Y12" s="16">
        <v>16.092736341972639</v>
      </c>
      <c r="Z12" s="16">
        <v>5.0232707836142119</v>
      </c>
    </row>
    <row r="13" spans="1:26" x14ac:dyDescent="0.25">
      <c r="A13" s="11" t="s">
        <v>56</v>
      </c>
      <c r="B13" s="11" t="s">
        <v>89</v>
      </c>
      <c r="C13" s="16">
        <v>952.81927329636721</v>
      </c>
      <c r="D13" s="16">
        <v>105.1560586682549</v>
      </c>
      <c r="E13" s="16">
        <v>1494.6303788087521</v>
      </c>
      <c r="F13" s="16">
        <v>42.959558398890699</v>
      </c>
      <c r="G13" s="16">
        <v>1403.4624526606981</v>
      </c>
      <c r="H13" s="16">
        <v>21.71631986223429</v>
      </c>
      <c r="I13" s="16">
        <v>6484.535785256774</v>
      </c>
      <c r="J13" s="16">
        <v>128.4179007244891</v>
      </c>
      <c r="K13" s="16">
        <v>1325.5144077426221</v>
      </c>
      <c r="L13" s="16">
        <v>28.118671942543489</v>
      </c>
      <c r="M13" s="16">
        <v>9.5073993227404632</v>
      </c>
      <c r="N13" s="16">
        <v>1.668431576004817</v>
      </c>
      <c r="O13" s="16">
        <v>202.7941673972696</v>
      </c>
      <c r="P13" s="16">
        <v>9.3736193331576878</v>
      </c>
      <c r="Q13" s="16">
        <v>4631.6506896129649</v>
      </c>
      <c r="R13" s="16">
        <v>86.067283970286113</v>
      </c>
      <c r="S13" s="16">
        <v>1.520355638209743</v>
      </c>
      <c r="T13" s="16">
        <v>0.22075124739611299</v>
      </c>
      <c r="U13" s="16">
        <v>3.703648818109782</v>
      </c>
      <c r="V13" s="16">
        <v>0.99036717793103302</v>
      </c>
      <c r="W13" s="16">
        <v>20.487934795768751</v>
      </c>
      <c r="X13" s="16">
        <v>4.1871396287796223</v>
      </c>
      <c r="Y13" s="16">
        <v>24.93248711187195</v>
      </c>
      <c r="Z13" s="16">
        <v>6.2376399320825087</v>
      </c>
    </row>
    <row r="14" spans="1:26" x14ac:dyDescent="0.25">
      <c r="A14" s="11" t="s">
        <v>57</v>
      </c>
      <c r="B14" s="11" t="s">
        <v>90</v>
      </c>
      <c r="C14" s="16">
        <v>1333.5513787339521</v>
      </c>
      <c r="D14" s="16">
        <v>136.650452743448</v>
      </c>
      <c r="E14" s="16">
        <v>2296.946477169693</v>
      </c>
      <c r="F14" s="16">
        <v>54.96350003787957</v>
      </c>
      <c r="G14" s="16">
        <v>2325.3444255678878</v>
      </c>
      <c r="H14" s="16">
        <v>29.59637710054642</v>
      </c>
      <c r="I14" s="16">
        <v>10857.11261087823</v>
      </c>
      <c r="J14" s="16">
        <v>208.28110853498131</v>
      </c>
      <c r="K14" s="16">
        <v>1457.844758814437</v>
      </c>
      <c r="L14" s="16">
        <v>31.20533329311753</v>
      </c>
      <c r="M14" s="16">
        <v>8.8199254857562206</v>
      </c>
      <c r="N14" s="16">
        <v>1.5601051266633219</v>
      </c>
      <c r="O14" s="16">
        <v>220.66205410036949</v>
      </c>
      <c r="P14" s="16">
        <v>10.279988351822229</v>
      </c>
      <c r="Q14" s="16">
        <v>7220.1114125965687</v>
      </c>
      <c r="R14" s="16">
        <v>133.77657201355851</v>
      </c>
      <c r="S14" s="16">
        <v>1.755211318150095</v>
      </c>
      <c r="T14" s="16">
        <v>0.25371238458624118</v>
      </c>
      <c r="U14" s="16">
        <v>4.5314934839294274</v>
      </c>
      <c r="V14" s="16">
        <v>1.176132670796403</v>
      </c>
      <c r="W14" s="16">
        <v>27.789137825526051</v>
      </c>
      <c r="X14" s="16">
        <v>5.2362811736660957</v>
      </c>
      <c r="Y14" s="16">
        <v>33.886825795071132</v>
      </c>
      <c r="Z14" s="16">
        <v>7.6109042307872796</v>
      </c>
    </row>
    <row r="15" spans="1:26" x14ac:dyDescent="0.25">
      <c r="A15" s="11" t="s">
        <v>58</v>
      </c>
      <c r="B15" s="11" t="s">
        <v>91</v>
      </c>
      <c r="C15" s="16">
        <v>1220.4912027850619</v>
      </c>
      <c r="D15" s="16">
        <v>121.2936251199333</v>
      </c>
      <c r="E15" s="16">
        <v>1707.009521622776</v>
      </c>
      <c r="F15" s="16">
        <v>45.929301683625212</v>
      </c>
      <c r="G15" s="16">
        <v>1373.9905650782009</v>
      </c>
      <c r="H15" s="16">
        <v>21.370955713377569</v>
      </c>
      <c r="I15" s="16">
        <v>7210.1271816636172</v>
      </c>
      <c r="J15" s="16">
        <v>141.30596308729241</v>
      </c>
      <c r="K15" s="16">
        <v>1879.964904310993</v>
      </c>
      <c r="L15" s="16">
        <v>33.100788145974008</v>
      </c>
      <c r="M15" s="16">
        <v>9.2956227798550835</v>
      </c>
      <c r="N15" s="16">
        <v>1.6333891642119409</v>
      </c>
      <c r="O15" s="16">
        <v>151.48731977022089</v>
      </c>
      <c r="P15" s="16">
        <v>7.731549528986208</v>
      </c>
      <c r="Q15" s="16">
        <v>6106.3323454606216</v>
      </c>
      <c r="R15" s="16">
        <v>113.1719042280498</v>
      </c>
      <c r="S15" s="16">
        <v>1.597119660254029</v>
      </c>
      <c r="T15" s="16">
        <v>0.23037183728196201</v>
      </c>
      <c r="U15" s="16">
        <v>4.1993505356478984</v>
      </c>
      <c r="V15" s="16">
        <v>1.0761523785719209</v>
      </c>
      <c r="W15" s="16">
        <v>16.192586995347469</v>
      </c>
      <c r="X15" s="16">
        <v>3.9000511443211261</v>
      </c>
      <c r="Y15" s="16">
        <v>23.449874446401779</v>
      </c>
      <c r="Z15" s="16">
        <v>6.5423884728715311</v>
      </c>
    </row>
    <row r="16" spans="1:26" x14ac:dyDescent="0.25">
      <c r="A16" s="11" t="s">
        <v>59</v>
      </c>
      <c r="B16" s="11" t="s">
        <v>92</v>
      </c>
      <c r="C16" s="16">
        <v>1361.912673775957</v>
      </c>
      <c r="D16" s="16">
        <v>127.7950353696836</v>
      </c>
      <c r="E16" s="16">
        <v>1267.4416001462409</v>
      </c>
      <c r="F16" s="16">
        <v>40.964651998640008</v>
      </c>
      <c r="G16" s="16">
        <v>939.18195056281604</v>
      </c>
      <c r="H16" s="16">
        <v>18.28031951034302</v>
      </c>
      <c r="I16" s="16">
        <v>6092.5220727327178</v>
      </c>
      <c r="J16" s="16">
        <v>121.48734514452801</v>
      </c>
      <c r="K16" s="16">
        <v>1658.36909171569</v>
      </c>
      <c r="L16" s="16">
        <v>30.907655029168978</v>
      </c>
      <c r="M16" s="16">
        <v>11.93557646182035</v>
      </c>
      <c r="N16" s="16">
        <v>2.0812852433308131</v>
      </c>
      <c r="O16" s="16">
        <v>265.98882429856269</v>
      </c>
      <c r="P16" s="16">
        <v>11.624209750585919</v>
      </c>
      <c r="Q16" s="16">
        <v>6779.3238439953757</v>
      </c>
      <c r="R16" s="16">
        <v>125.5893726741818</v>
      </c>
      <c r="S16" s="16">
        <v>1.7802597316113551</v>
      </c>
      <c r="T16" s="16">
        <v>0.24877170645834659</v>
      </c>
      <c r="U16" s="16">
        <v>3.49580694646493</v>
      </c>
      <c r="V16" s="16">
        <v>0.99436340672093082</v>
      </c>
      <c r="W16" s="16">
        <v>17.59851590139866</v>
      </c>
      <c r="X16" s="16">
        <v>4.112502659936351</v>
      </c>
      <c r="Y16" s="16">
        <v>30.85552335155824</v>
      </c>
      <c r="Z16" s="16">
        <v>7.0496204633726771</v>
      </c>
    </row>
  </sheetData>
  <mergeCells count="12">
    <mergeCell ref="M3:N3"/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Y3:Z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8" customWidth="1"/>
  </cols>
  <sheetData>
    <row r="1" spans="1:24" ht="16.5" x14ac:dyDescent="0.25">
      <c r="A1" s="1" t="s">
        <v>97</v>
      </c>
    </row>
    <row r="2" spans="1:24" x14ac:dyDescent="0.25">
      <c r="A2" s="7" t="s">
        <v>98</v>
      </c>
    </row>
    <row r="3" spans="1:24" x14ac:dyDescent="0.25">
      <c r="A3" s="11"/>
      <c r="B3" s="11"/>
      <c r="C3" s="18" t="s">
        <v>70</v>
      </c>
      <c r="D3" s="19"/>
      <c r="E3" s="18" t="s">
        <v>71</v>
      </c>
      <c r="F3" s="19"/>
      <c r="G3" s="18" t="s">
        <v>72</v>
      </c>
      <c r="H3" s="19"/>
      <c r="I3" s="18" t="s">
        <v>73</v>
      </c>
      <c r="J3" s="19"/>
      <c r="K3" s="18" t="s">
        <v>74</v>
      </c>
      <c r="L3" s="19"/>
      <c r="M3" s="18" t="s">
        <v>75</v>
      </c>
      <c r="N3" s="19"/>
      <c r="O3" s="18" t="s">
        <v>76</v>
      </c>
      <c r="P3" s="19"/>
      <c r="Q3" s="18" t="s">
        <v>77</v>
      </c>
      <c r="R3" s="19"/>
      <c r="S3" s="18" t="s">
        <v>78</v>
      </c>
      <c r="T3" s="19"/>
      <c r="U3" s="18" t="s">
        <v>79</v>
      </c>
      <c r="V3" s="19"/>
      <c r="W3" s="18" t="s">
        <v>99</v>
      </c>
      <c r="X3" s="19"/>
    </row>
    <row r="4" spans="1:24" x14ac:dyDescent="0.25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46</v>
      </c>
      <c r="F4" s="14" t="s">
        <v>47</v>
      </c>
      <c r="G4" s="14" t="s">
        <v>46</v>
      </c>
      <c r="H4" s="14" t="s">
        <v>47</v>
      </c>
      <c r="I4" s="14" t="s">
        <v>46</v>
      </c>
      <c r="J4" s="14" t="s">
        <v>47</v>
      </c>
      <c r="K4" s="14" t="s">
        <v>46</v>
      </c>
      <c r="L4" s="14" t="s">
        <v>47</v>
      </c>
      <c r="M4" s="14" t="s">
        <v>46</v>
      </c>
      <c r="N4" s="14" t="s">
        <v>47</v>
      </c>
      <c r="O4" s="14" t="s">
        <v>46</v>
      </c>
      <c r="P4" s="14" t="s">
        <v>47</v>
      </c>
      <c r="Q4" s="14" t="s">
        <v>46</v>
      </c>
      <c r="R4" s="14" t="s">
        <v>47</v>
      </c>
      <c r="S4" s="14" t="s">
        <v>46</v>
      </c>
      <c r="T4" s="14" t="s">
        <v>47</v>
      </c>
      <c r="U4" s="14" t="s">
        <v>46</v>
      </c>
      <c r="V4" s="14" t="s">
        <v>47</v>
      </c>
      <c r="W4" s="14" t="s">
        <v>46</v>
      </c>
      <c r="X4" s="14" t="s">
        <v>47</v>
      </c>
    </row>
    <row r="5" spans="1:24" x14ac:dyDescent="0.25">
      <c r="A5" s="14" t="s">
        <v>48</v>
      </c>
      <c r="B5" s="11"/>
      <c r="C5" s="15">
        <v>711.83200324609163</v>
      </c>
      <c r="D5" s="11"/>
      <c r="E5" s="15">
        <v>160.8539765583148</v>
      </c>
      <c r="F5" s="11"/>
      <c r="G5" s="15">
        <v>38.966807425994041</v>
      </c>
      <c r="H5" s="11"/>
      <c r="I5" s="15">
        <v>28.290218906380801</v>
      </c>
      <c r="J5" s="11"/>
      <c r="K5" s="15">
        <v>1.2166443761330989</v>
      </c>
      <c r="L5" s="11"/>
      <c r="M5" s="15">
        <v>6.9177922333634454</v>
      </c>
      <c r="N5" s="11"/>
      <c r="O5" s="15">
        <v>5.2566551359708136</v>
      </c>
      <c r="P5" s="11"/>
      <c r="Q5" s="15">
        <v>0.3595150604520484</v>
      </c>
      <c r="R5" s="11"/>
      <c r="S5" s="15">
        <v>1.347656367903336</v>
      </c>
      <c r="T5" s="11"/>
      <c r="U5" s="15">
        <v>2.9360345790352889</v>
      </c>
      <c r="V5" s="11"/>
      <c r="W5" s="15">
        <v>4.7078939401237734E-3</v>
      </c>
      <c r="X5" s="11"/>
    </row>
    <row r="6" spans="1:24" x14ac:dyDescent="0.25">
      <c r="A6" s="11" t="s">
        <v>49</v>
      </c>
      <c r="B6" s="11" t="s">
        <v>81</v>
      </c>
      <c r="C6" s="16">
        <v>9600</v>
      </c>
      <c r="D6" s="16">
        <v>632.91396199179349</v>
      </c>
      <c r="E6" s="16">
        <v>6600</v>
      </c>
      <c r="F6" s="16">
        <v>165.13798119636141</v>
      </c>
      <c r="G6" s="16">
        <v>26760</v>
      </c>
      <c r="H6" s="16">
        <v>493.82174579015032</v>
      </c>
      <c r="I6" s="16">
        <v>50450</v>
      </c>
      <c r="J6" s="16">
        <v>564.65387726319182</v>
      </c>
      <c r="K6" s="16">
        <v>1.988</v>
      </c>
      <c r="L6" s="16">
        <v>0.80014644499116772</v>
      </c>
      <c r="M6" s="16">
        <v>246.3</v>
      </c>
      <c r="N6" s="16">
        <v>9.2938701429847015</v>
      </c>
      <c r="O6" s="16">
        <v>367.5</v>
      </c>
      <c r="P6" s="16">
        <v>6.8410117839398188</v>
      </c>
      <c r="Q6" s="16">
        <v>1.5820000000000001</v>
      </c>
      <c r="R6" s="16">
        <v>0.38343185704852428</v>
      </c>
      <c r="S6" s="16">
        <v>4.7</v>
      </c>
      <c r="T6" s="16">
        <v>1.440318490949797</v>
      </c>
      <c r="U6" s="16">
        <v>30.94</v>
      </c>
      <c r="V6" s="16">
        <v>3.234778931207325</v>
      </c>
      <c r="W6" s="16">
        <v>5.4300000000000001E-2</v>
      </c>
      <c r="X6" s="16">
        <v>6.7111022268776764E-3</v>
      </c>
    </row>
    <row r="7" spans="1:24" x14ac:dyDescent="0.25">
      <c r="A7" s="11" t="s">
        <v>50</v>
      </c>
      <c r="B7" s="11" t="s">
        <v>82</v>
      </c>
      <c r="C7" s="16">
        <v>1962.607700843256</v>
      </c>
      <c r="D7" s="16">
        <v>298.04167458325759</v>
      </c>
      <c r="E7" s="16">
        <v>1749.85525328415</v>
      </c>
      <c r="F7" s="16">
        <v>77.279812613844726</v>
      </c>
      <c r="G7" s="16">
        <v>8326.0958840730927</v>
      </c>
      <c r="H7" s="16">
        <v>158.92768711861419</v>
      </c>
      <c r="I7" s="16">
        <v>2672.9303604483462</v>
      </c>
      <c r="J7" s="16">
        <v>39.529006887898419</v>
      </c>
      <c r="K7" s="16">
        <v>8.9332092954039197</v>
      </c>
      <c r="L7" s="16">
        <v>2.6527768673820988</v>
      </c>
      <c r="M7" s="16">
        <v>420.74856265593297</v>
      </c>
      <c r="N7" s="16">
        <v>15.13345374275328</v>
      </c>
      <c r="O7" s="16">
        <v>5655.8146034663678</v>
      </c>
      <c r="P7" s="16">
        <v>88.661267914251468</v>
      </c>
      <c r="Q7" s="16">
        <v>2.0096887951091711</v>
      </c>
      <c r="R7" s="16">
        <v>0.45408993405058901</v>
      </c>
      <c r="S7" s="16">
        <v>6.1930289797538718</v>
      </c>
      <c r="T7" s="16">
        <v>1.7458610906542771</v>
      </c>
      <c r="U7" s="16">
        <v>30.166619521195859</v>
      </c>
      <c r="V7" s="16">
        <v>3.2260706439387938</v>
      </c>
      <c r="W7" s="16">
        <v>5.8907323447679988E-2</v>
      </c>
      <c r="X7" s="16">
        <v>6.9157990007439199E-3</v>
      </c>
    </row>
    <row r="8" spans="1:24" x14ac:dyDescent="0.25">
      <c r="A8" s="11" t="s">
        <v>51</v>
      </c>
      <c r="B8" s="11" t="s">
        <v>83</v>
      </c>
      <c r="C8" s="16">
        <v>1890.409568681599</v>
      </c>
      <c r="D8" s="16">
        <v>291.01221191883559</v>
      </c>
      <c r="E8" s="16">
        <v>2580.5194644645262</v>
      </c>
      <c r="F8" s="16">
        <v>90.604681390764526</v>
      </c>
      <c r="G8" s="16">
        <v>7523.7994965311391</v>
      </c>
      <c r="H8" s="16">
        <v>144.35172065866979</v>
      </c>
      <c r="I8" s="16">
        <v>2601.4873193029248</v>
      </c>
      <c r="J8" s="16">
        <v>38.585477328621359</v>
      </c>
      <c r="K8" s="16">
        <v>31.849319560582511</v>
      </c>
      <c r="L8" s="16">
        <v>9.1100579352354352</v>
      </c>
      <c r="M8" s="16">
        <v>152.14016909458601</v>
      </c>
      <c r="N8" s="16">
        <v>6.6993234095043839</v>
      </c>
      <c r="O8" s="16">
        <v>5439.4237937249927</v>
      </c>
      <c r="P8" s="16">
        <v>85.274308315086998</v>
      </c>
      <c r="Q8" s="16">
        <v>4.1220804312766566</v>
      </c>
      <c r="R8" s="16">
        <v>0.76827897807476619</v>
      </c>
      <c r="S8" s="16">
        <v>2.7264145578618142</v>
      </c>
      <c r="T8" s="16">
        <v>1.2220270354198901</v>
      </c>
      <c r="U8" s="16">
        <v>59.920236022797731</v>
      </c>
      <c r="V8" s="16">
        <v>5.0562252038238276</v>
      </c>
      <c r="W8" s="16">
        <v>6.771915806951416E-2</v>
      </c>
      <c r="X8" s="16">
        <v>7.4093874291757339E-3</v>
      </c>
    </row>
    <row r="9" spans="1:24" x14ac:dyDescent="0.25">
      <c r="A9" s="11" t="s">
        <v>52</v>
      </c>
      <c r="B9" s="11" t="s">
        <v>85</v>
      </c>
      <c r="C9" s="16">
        <v>1996.2983679821659</v>
      </c>
      <c r="D9" s="16">
        <v>310.53089109185629</v>
      </c>
      <c r="E9" s="16">
        <v>2359.1043841578189</v>
      </c>
      <c r="F9" s="16">
        <v>89.793279303653804</v>
      </c>
      <c r="G9" s="16">
        <v>11093.95493050386</v>
      </c>
      <c r="H9" s="16">
        <v>209.618786838223</v>
      </c>
      <c r="I9" s="16">
        <v>2938.218178628802</v>
      </c>
      <c r="J9" s="16">
        <v>43.253492992942981</v>
      </c>
      <c r="K9" s="16">
        <v>6.0418732899793426</v>
      </c>
      <c r="L9" s="16">
        <v>1.890089139075362</v>
      </c>
      <c r="M9" s="16">
        <v>154.38963412775149</v>
      </c>
      <c r="N9" s="16">
        <v>7.0450646285561236</v>
      </c>
      <c r="O9" s="16">
        <v>5839.8546998065531</v>
      </c>
      <c r="P9" s="16">
        <v>91.57488727827004</v>
      </c>
      <c r="Q9" s="16">
        <v>1.9924875549471059</v>
      </c>
      <c r="R9" s="16">
        <v>0.47737861987583619</v>
      </c>
      <c r="S9" s="16">
        <v>6.0816428126944624</v>
      </c>
      <c r="T9" s="16">
        <v>1.8334195490206959</v>
      </c>
      <c r="U9" s="16">
        <v>27.099691732997609</v>
      </c>
      <c r="V9" s="16">
        <v>3.3319135697447311</v>
      </c>
      <c r="W9" s="16">
        <v>7.7785230192772933E-2</v>
      </c>
      <c r="X9" s="16">
        <v>8.7511499836983291E-3</v>
      </c>
    </row>
    <row r="10" spans="1:24" x14ac:dyDescent="0.25">
      <c r="A10" s="11" t="s">
        <v>53</v>
      </c>
      <c r="B10" s="11" t="s">
        <v>86</v>
      </c>
      <c r="C10" s="16">
        <v>2327.2124426346309</v>
      </c>
      <c r="D10" s="16">
        <v>327.36426327709552</v>
      </c>
      <c r="E10" s="16">
        <v>1958.8502779195601</v>
      </c>
      <c r="F10" s="16">
        <v>84.456901642771314</v>
      </c>
      <c r="G10" s="16">
        <v>12341.660600122361</v>
      </c>
      <c r="H10" s="16">
        <v>232.24766759368711</v>
      </c>
      <c r="I10" s="16">
        <v>2991.650137457515</v>
      </c>
      <c r="J10" s="16">
        <v>43.814615805644571</v>
      </c>
      <c r="K10" s="16">
        <v>24.881488294792579</v>
      </c>
      <c r="L10" s="16">
        <v>7.1401562797855211</v>
      </c>
      <c r="M10" s="16">
        <v>229.38257367343169</v>
      </c>
      <c r="N10" s="16">
        <v>9.1766189889479843</v>
      </c>
      <c r="O10" s="16">
        <v>7493.6865450775804</v>
      </c>
      <c r="P10" s="16">
        <v>117.2690911358703</v>
      </c>
      <c r="Q10" s="16">
        <v>3.7686706437548732</v>
      </c>
      <c r="R10" s="16">
        <v>0.72308236377205315</v>
      </c>
      <c r="S10" s="16">
        <v>5.1652807507477707</v>
      </c>
      <c r="T10" s="16">
        <v>1.6019683660985471</v>
      </c>
      <c r="U10" s="16">
        <v>26.030842068818451</v>
      </c>
      <c r="V10" s="16">
        <v>3.144797903496368</v>
      </c>
      <c r="W10" s="16">
        <v>6.2537385040913718E-2</v>
      </c>
      <c r="X10" s="16">
        <v>7.3558279364579577E-3</v>
      </c>
    </row>
    <row r="11" spans="1:24" x14ac:dyDescent="0.25">
      <c r="A11" s="11" t="s">
        <v>54</v>
      </c>
      <c r="B11" s="11" t="s">
        <v>87</v>
      </c>
      <c r="C11" s="16">
        <v>2475.6374449933792</v>
      </c>
      <c r="D11" s="16">
        <v>347.49888342330701</v>
      </c>
      <c r="E11" s="16">
        <v>2220.8298780433952</v>
      </c>
      <c r="F11" s="16">
        <v>90.916546460494573</v>
      </c>
      <c r="G11" s="16">
        <v>13589.59326668484</v>
      </c>
      <c r="H11" s="16">
        <v>255.10552475681479</v>
      </c>
      <c r="I11" s="16">
        <v>3168.5429986404188</v>
      </c>
      <c r="J11" s="16">
        <v>45.990693815351257</v>
      </c>
      <c r="K11" s="16">
        <v>19.178969472134199</v>
      </c>
      <c r="L11" s="16">
        <v>5.5331638929167104</v>
      </c>
      <c r="M11" s="16">
        <v>287.37221208242289</v>
      </c>
      <c r="N11" s="16">
        <v>11.08514733469587</v>
      </c>
      <c r="O11" s="16">
        <v>8763.1619509214252</v>
      </c>
      <c r="P11" s="16">
        <v>137.01598636390159</v>
      </c>
      <c r="Q11" s="16">
        <v>3.014832372633907</v>
      </c>
      <c r="R11" s="16">
        <v>0.62471857585089952</v>
      </c>
      <c r="S11" s="16">
        <v>7.1779830218762113</v>
      </c>
      <c r="T11" s="16">
        <v>2.0154475186353782</v>
      </c>
      <c r="U11" s="16">
        <v>37.731017863905848</v>
      </c>
      <c r="V11" s="16">
        <v>3.9590712187292429</v>
      </c>
      <c r="W11" s="16">
        <v>9.9763462678798806E-2</v>
      </c>
      <c r="X11" s="16">
        <v>1.0535815036594291E-2</v>
      </c>
    </row>
    <row r="12" spans="1:24" x14ac:dyDescent="0.25">
      <c r="A12" s="11" t="s">
        <v>55</v>
      </c>
      <c r="B12" s="11" t="s">
        <v>88</v>
      </c>
      <c r="C12" s="16">
        <v>2107.171977746455</v>
      </c>
      <c r="D12" s="16">
        <v>318.10810461563091</v>
      </c>
      <c r="E12" s="16">
        <v>2780.211632436311</v>
      </c>
      <c r="F12" s="16">
        <v>97.749994901735036</v>
      </c>
      <c r="G12" s="16">
        <v>9278.0466385252985</v>
      </c>
      <c r="H12" s="16">
        <v>176.64900847382259</v>
      </c>
      <c r="I12" s="16">
        <v>2744.9221126626949</v>
      </c>
      <c r="J12" s="16">
        <v>40.832221297159137</v>
      </c>
      <c r="K12" s="16">
        <v>11.803818610456791</v>
      </c>
      <c r="L12" s="16">
        <v>3.4477232676868348</v>
      </c>
      <c r="M12" s="16">
        <v>187.59085371699251</v>
      </c>
      <c r="N12" s="16">
        <v>7.8083616066543566</v>
      </c>
      <c r="O12" s="16">
        <v>4616.8289374094329</v>
      </c>
      <c r="P12" s="16">
        <v>72.558003909278938</v>
      </c>
      <c r="Q12" s="16">
        <v>2.0967684601628509</v>
      </c>
      <c r="R12" s="16">
        <v>0.46484325453203501</v>
      </c>
      <c r="S12" s="16">
        <v>4.640969845947569</v>
      </c>
      <c r="T12" s="16">
        <v>1.490282930949639</v>
      </c>
      <c r="U12" s="16">
        <v>26.606071178372979</v>
      </c>
      <c r="V12" s="16">
        <v>3.0378576724681841</v>
      </c>
      <c r="W12" s="16">
        <v>5.259900153058332E-2</v>
      </c>
      <c r="X12" s="16">
        <v>6.4693458084291167E-3</v>
      </c>
    </row>
    <row r="13" spans="1:24" x14ac:dyDescent="0.25">
      <c r="A13" s="11" t="s">
        <v>56</v>
      </c>
      <c r="B13" s="11" t="s">
        <v>89</v>
      </c>
      <c r="C13" s="16">
        <v>1973.2962151605329</v>
      </c>
      <c r="D13" s="16">
        <v>316.23654543766321</v>
      </c>
      <c r="E13" s="16">
        <v>2331.8851686269741</v>
      </c>
      <c r="F13" s="16">
        <v>89.570445264778243</v>
      </c>
      <c r="G13" s="16">
        <v>9885.3759136424851</v>
      </c>
      <c r="H13" s="16">
        <v>187.7304547223479</v>
      </c>
      <c r="I13" s="16">
        <v>2390.6474892288361</v>
      </c>
      <c r="J13" s="16">
        <v>37.256875606362179</v>
      </c>
      <c r="K13" s="16">
        <v>43.810241071401563</v>
      </c>
      <c r="L13" s="16">
        <v>12.51653593903357</v>
      </c>
      <c r="M13" s="16">
        <v>255.6840342201327</v>
      </c>
      <c r="N13" s="16">
        <v>10.089712376830811</v>
      </c>
      <c r="O13" s="16">
        <v>11343.696135309079</v>
      </c>
      <c r="P13" s="16">
        <v>177.11880027311889</v>
      </c>
      <c r="Q13" s="16">
        <v>6.7295542326285904</v>
      </c>
      <c r="R13" s="16">
        <v>1.2109943390910789</v>
      </c>
      <c r="S13" s="16">
        <v>8.4162024154450776</v>
      </c>
      <c r="T13" s="16">
        <v>2.2129822962334789</v>
      </c>
      <c r="U13" s="16">
        <v>42.045838372345393</v>
      </c>
      <c r="V13" s="16">
        <v>4.1782568921559857</v>
      </c>
      <c r="W13" s="16">
        <v>8.0866676543993196E-2</v>
      </c>
      <c r="X13" s="16">
        <v>9.1235385578801176E-3</v>
      </c>
    </row>
    <row r="14" spans="1:24" x14ac:dyDescent="0.25">
      <c r="A14" s="11" t="s">
        <v>57</v>
      </c>
      <c r="B14" s="11" t="s">
        <v>90</v>
      </c>
      <c r="C14" s="16">
        <v>2400.0064152302698</v>
      </c>
      <c r="D14" s="16">
        <v>358.29778415203168</v>
      </c>
      <c r="E14" s="16">
        <v>3460.0842924200542</v>
      </c>
      <c r="F14" s="16">
        <v>112.5202364331859</v>
      </c>
      <c r="G14" s="16">
        <v>14079.076741581879</v>
      </c>
      <c r="H14" s="16">
        <v>264.1073808870691</v>
      </c>
      <c r="I14" s="16">
        <v>2432.791184167776</v>
      </c>
      <c r="J14" s="16">
        <v>38.594697118499873</v>
      </c>
      <c r="K14" s="16">
        <v>24.396768914534011</v>
      </c>
      <c r="L14" s="16">
        <v>7.0007889844545872</v>
      </c>
      <c r="M14" s="16">
        <v>223.40071393526961</v>
      </c>
      <c r="N14" s="16">
        <v>8.9914738546283441</v>
      </c>
      <c r="O14" s="16">
        <v>6809.5578347847077</v>
      </c>
      <c r="P14" s="16">
        <v>106.66846814427009</v>
      </c>
      <c r="Q14" s="16">
        <v>3.473477429734571</v>
      </c>
      <c r="R14" s="16">
        <v>0.6748017473108413</v>
      </c>
      <c r="S14" s="16">
        <v>3.843543396840905</v>
      </c>
      <c r="T14" s="16">
        <v>1.400265538053183</v>
      </c>
      <c r="U14" s="16">
        <v>24.642236183942391</v>
      </c>
      <c r="V14" s="16">
        <v>3.0738873011089818</v>
      </c>
      <c r="W14" s="16">
        <v>6.4383077256660981E-2</v>
      </c>
      <c r="X14" s="16">
        <v>7.4780723471796814E-3</v>
      </c>
    </row>
    <row r="15" spans="1:24" x14ac:dyDescent="0.25">
      <c r="A15" s="11" t="s">
        <v>58</v>
      </c>
      <c r="B15" s="11" t="s">
        <v>91</v>
      </c>
      <c r="C15" s="16">
        <v>2740.268588200302</v>
      </c>
      <c r="D15" s="16">
        <v>375.39253291156518</v>
      </c>
      <c r="E15" s="16">
        <v>2465.2580913450479</v>
      </c>
      <c r="F15" s="16">
        <v>101.7481547442783</v>
      </c>
      <c r="G15" s="16">
        <v>11844.518781861711</v>
      </c>
      <c r="H15" s="16">
        <v>224.45775819780209</v>
      </c>
      <c r="I15" s="16">
        <v>3808.6694394688411</v>
      </c>
      <c r="J15" s="16">
        <v>53.931200528098778</v>
      </c>
      <c r="K15" s="16">
        <v>37.513599628628377</v>
      </c>
      <c r="L15" s="16">
        <v>10.7373488014724</v>
      </c>
      <c r="M15" s="16">
        <v>290.43893384751709</v>
      </c>
      <c r="N15" s="16">
        <v>11.47583547750831</v>
      </c>
      <c r="O15" s="16">
        <v>12917.372944579511</v>
      </c>
      <c r="P15" s="16">
        <v>201.68638980963621</v>
      </c>
      <c r="Q15" s="16">
        <v>5.6432599202279201</v>
      </c>
      <c r="R15" s="16">
        <v>1.0488157112796019</v>
      </c>
      <c r="S15" s="16">
        <v>14.17267547267547</v>
      </c>
      <c r="T15" s="16">
        <v>3.3997101436217401</v>
      </c>
      <c r="U15" s="16">
        <v>37.277125802579263</v>
      </c>
      <c r="V15" s="16">
        <v>4.1609009882281898</v>
      </c>
      <c r="W15" s="16">
        <v>0.1090732026143791</v>
      </c>
      <c r="X15" s="16">
        <v>1.1591750601890501E-2</v>
      </c>
    </row>
    <row r="16" spans="1:24" x14ac:dyDescent="0.25">
      <c r="A16" s="11" t="s">
        <v>59</v>
      </c>
      <c r="B16" s="11" t="s">
        <v>92</v>
      </c>
      <c r="C16" s="16">
        <v>1291.6935030037259</v>
      </c>
      <c r="D16" s="16">
        <v>314.67934401821481</v>
      </c>
      <c r="E16" s="16">
        <v>1536.1961085116211</v>
      </c>
      <c r="F16" s="16">
        <v>79.33500763372173</v>
      </c>
      <c r="G16" s="16">
        <v>9460.5847474468028</v>
      </c>
      <c r="H16" s="16">
        <v>180.18949413561421</v>
      </c>
      <c r="I16" s="16">
        <v>2872.595379212994</v>
      </c>
      <c r="J16" s="16">
        <v>42.593446706457676</v>
      </c>
      <c r="K16" s="16">
        <v>39.595648007158353</v>
      </c>
      <c r="L16" s="16">
        <v>11.320958201553889</v>
      </c>
      <c r="M16" s="16">
        <v>290.12191117776001</v>
      </c>
      <c r="N16" s="16">
        <v>11.18087717829628</v>
      </c>
      <c r="O16" s="16">
        <v>12829.372728746721</v>
      </c>
      <c r="P16" s="16">
        <v>200.2274741705088</v>
      </c>
      <c r="Q16" s="16">
        <v>5.5962421526898991</v>
      </c>
      <c r="R16" s="16">
        <v>1.0250073438802429</v>
      </c>
      <c r="S16" s="16">
        <v>6.8971312612231186</v>
      </c>
      <c r="T16" s="16">
        <v>1.942214755186165</v>
      </c>
      <c r="U16" s="16">
        <v>39.929231294506032</v>
      </c>
      <c r="V16" s="16">
        <v>4.035058220826885</v>
      </c>
      <c r="W16" s="16">
        <v>9.1956080927545994E-2</v>
      </c>
      <c r="X16" s="16">
        <v>9.8658484403194874E-3</v>
      </c>
    </row>
  </sheetData>
  <mergeCells count="11"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M3:N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8" customWidth="1"/>
  </cols>
  <sheetData>
    <row r="1" spans="1:24" ht="16.5" x14ac:dyDescent="0.25">
      <c r="A1" s="1" t="s">
        <v>100</v>
      </c>
    </row>
    <row r="2" spans="1:24" x14ac:dyDescent="0.25">
      <c r="A2" s="7" t="s">
        <v>101</v>
      </c>
    </row>
    <row r="3" spans="1:24" x14ac:dyDescent="0.25">
      <c r="A3" s="11"/>
      <c r="B3" s="11"/>
      <c r="C3" s="18" t="s">
        <v>70</v>
      </c>
      <c r="D3" s="19"/>
      <c r="E3" s="18" t="s">
        <v>71</v>
      </c>
      <c r="F3" s="19"/>
      <c r="G3" s="18" t="s">
        <v>72</v>
      </c>
      <c r="H3" s="19"/>
      <c r="I3" s="18" t="s">
        <v>73</v>
      </c>
      <c r="J3" s="19"/>
      <c r="K3" s="18" t="s">
        <v>74</v>
      </c>
      <c r="L3" s="19"/>
      <c r="M3" s="18" t="s">
        <v>75</v>
      </c>
      <c r="N3" s="19"/>
      <c r="O3" s="18" t="s">
        <v>76</v>
      </c>
      <c r="P3" s="19"/>
      <c r="Q3" s="18" t="s">
        <v>77</v>
      </c>
      <c r="R3" s="19"/>
      <c r="S3" s="18" t="s">
        <v>78</v>
      </c>
      <c r="T3" s="19"/>
      <c r="U3" s="18" t="s">
        <v>79</v>
      </c>
      <c r="V3" s="19"/>
      <c r="W3" s="18" t="s">
        <v>99</v>
      </c>
      <c r="X3" s="19"/>
    </row>
    <row r="4" spans="1:24" x14ac:dyDescent="0.25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46</v>
      </c>
      <c r="F4" s="14" t="s">
        <v>47</v>
      </c>
      <c r="G4" s="14" t="s">
        <v>46</v>
      </c>
      <c r="H4" s="14" t="s">
        <v>47</v>
      </c>
      <c r="I4" s="14" t="s">
        <v>46</v>
      </c>
      <c r="J4" s="14" t="s">
        <v>47</v>
      </c>
      <c r="K4" s="14" t="s">
        <v>46</v>
      </c>
      <c r="L4" s="14" t="s">
        <v>47</v>
      </c>
      <c r="M4" s="14" t="s">
        <v>46</v>
      </c>
      <c r="N4" s="14" t="s">
        <v>47</v>
      </c>
      <c r="O4" s="14" t="s">
        <v>46</v>
      </c>
      <c r="P4" s="14" t="s">
        <v>47</v>
      </c>
      <c r="Q4" s="14" t="s">
        <v>46</v>
      </c>
      <c r="R4" s="14" t="s">
        <v>47</v>
      </c>
      <c r="S4" s="14" t="s">
        <v>46</v>
      </c>
      <c r="T4" s="14" t="s">
        <v>47</v>
      </c>
      <c r="U4" s="14" t="s">
        <v>46</v>
      </c>
      <c r="V4" s="14" t="s">
        <v>47</v>
      </c>
      <c r="W4" s="14" t="s">
        <v>46</v>
      </c>
      <c r="X4" s="14" t="s">
        <v>47</v>
      </c>
    </row>
    <row r="5" spans="1:24" x14ac:dyDescent="0.25">
      <c r="A5" s="14" t="s">
        <v>48</v>
      </c>
      <c r="B5" s="11"/>
      <c r="C5" s="15" t="s">
        <v>96</v>
      </c>
      <c r="D5" s="11"/>
      <c r="E5" s="15" t="s">
        <v>96</v>
      </c>
      <c r="F5" s="11"/>
      <c r="G5" s="15" t="s">
        <v>96</v>
      </c>
      <c r="H5" s="11"/>
      <c r="I5" s="15" t="s">
        <v>96</v>
      </c>
      <c r="J5" s="11"/>
      <c r="K5" s="15">
        <v>1.2166443761330989</v>
      </c>
      <c r="L5" s="11"/>
      <c r="M5" s="15" t="s">
        <v>96</v>
      </c>
      <c r="N5" s="11"/>
      <c r="O5" s="15" t="s">
        <v>96</v>
      </c>
      <c r="P5" s="11"/>
      <c r="Q5" s="15" t="s">
        <v>96</v>
      </c>
      <c r="R5" s="11"/>
      <c r="S5" s="15" t="s">
        <v>96</v>
      </c>
      <c r="T5" s="11"/>
      <c r="U5" s="15" t="s">
        <v>96</v>
      </c>
      <c r="V5" s="11"/>
      <c r="W5" s="15" t="s">
        <v>96</v>
      </c>
      <c r="X5" s="11"/>
    </row>
    <row r="6" spans="1:24" x14ac:dyDescent="0.25">
      <c r="A6" s="11" t="s">
        <v>49</v>
      </c>
      <c r="B6" s="11" t="s">
        <v>102</v>
      </c>
      <c r="C6" s="16">
        <v>9600</v>
      </c>
      <c r="D6" s="16">
        <v>632.91396199179349</v>
      </c>
      <c r="E6" s="16">
        <v>6600</v>
      </c>
      <c r="F6" s="16">
        <v>165.13798119636141</v>
      </c>
      <c r="G6" s="16">
        <v>26760</v>
      </c>
      <c r="H6" s="16">
        <v>493.82174579015032</v>
      </c>
      <c r="I6" s="16">
        <v>50450</v>
      </c>
      <c r="J6" s="16">
        <v>564.65387726319182</v>
      </c>
      <c r="K6" s="16">
        <v>1.988</v>
      </c>
      <c r="L6" s="16">
        <v>0.80014644499116772</v>
      </c>
      <c r="M6" s="16">
        <v>246.3</v>
      </c>
      <c r="N6" s="16">
        <v>9.2938701429847015</v>
      </c>
      <c r="O6" s="16">
        <v>367.5</v>
      </c>
      <c r="P6" s="16">
        <v>6.8410117839398188</v>
      </c>
      <c r="Q6" s="16">
        <v>1.5820000000000001</v>
      </c>
      <c r="R6" s="16">
        <v>0.38343185704852428</v>
      </c>
      <c r="S6" s="16">
        <v>4.7</v>
      </c>
      <c r="T6" s="16">
        <v>1.440318490949797</v>
      </c>
      <c r="U6" s="16">
        <v>30.94</v>
      </c>
      <c r="V6" s="16">
        <v>3.234778931207325</v>
      </c>
      <c r="W6" s="16">
        <v>5.4300000000000001E-2</v>
      </c>
      <c r="X6" s="16">
        <v>6.7111022268776764E-3</v>
      </c>
    </row>
    <row r="7" spans="1:24" x14ac:dyDescent="0.25">
      <c r="A7" s="11" t="s">
        <v>50</v>
      </c>
      <c r="B7" s="11" t="s">
        <v>82</v>
      </c>
      <c r="C7" s="16">
        <v>1962.607700843256</v>
      </c>
      <c r="D7" s="16">
        <v>298.60233369373958</v>
      </c>
      <c r="E7" s="16">
        <v>1749.85525328415</v>
      </c>
      <c r="F7" s="16">
        <v>77.170149825617273</v>
      </c>
      <c r="G7" s="16">
        <v>8326.0958840730927</v>
      </c>
      <c r="H7" s="16">
        <v>158.9470344965477</v>
      </c>
      <c r="I7" s="16">
        <v>2672.9303604483462</v>
      </c>
      <c r="J7" s="16">
        <v>39.54839160906397</v>
      </c>
      <c r="K7" s="16">
        <v>8.9332092954039197</v>
      </c>
      <c r="L7" s="16">
        <v>2.6529597781050098</v>
      </c>
      <c r="M7" s="16">
        <v>420.74856265593297</v>
      </c>
      <c r="N7" s="16">
        <v>15.13269234637106</v>
      </c>
      <c r="O7" s="16">
        <v>5655.8146034663678</v>
      </c>
      <c r="P7" s="16">
        <v>88.660077148753203</v>
      </c>
      <c r="Q7" s="16">
        <v>2.0096887951091711</v>
      </c>
      <c r="R7" s="16">
        <v>0.45401561204607249</v>
      </c>
      <c r="S7" s="16">
        <v>6.1930289797538718</v>
      </c>
      <c r="T7" s="16">
        <v>1.745050995538302</v>
      </c>
      <c r="U7" s="16">
        <v>30.166619521195859</v>
      </c>
      <c r="V7" s="16">
        <v>3.227128690781726</v>
      </c>
      <c r="W7" s="16">
        <v>5.8907323447679988E-2</v>
      </c>
      <c r="X7" s="16">
        <v>6.9116800879966134E-3</v>
      </c>
    </row>
    <row r="8" spans="1:24" x14ac:dyDescent="0.25">
      <c r="A8" s="11" t="s">
        <v>51</v>
      </c>
      <c r="B8" s="11" t="s">
        <v>83</v>
      </c>
      <c r="C8" s="16">
        <v>1890.409568681599</v>
      </c>
      <c r="D8" s="16">
        <v>291.26502089965089</v>
      </c>
      <c r="E8" s="16">
        <v>2580.5194644645262</v>
      </c>
      <c r="F8" s="16">
        <v>90.515915466260424</v>
      </c>
      <c r="G8" s="16">
        <v>7523.7994965311391</v>
      </c>
      <c r="H8" s="16">
        <v>144.3130635248811</v>
      </c>
      <c r="I8" s="16">
        <v>2601.4873193029248</v>
      </c>
      <c r="J8" s="16">
        <v>38.551107052601367</v>
      </c>
      <c r="K8" s="16">
        <v>31.849319560582511</v>
      </c>
      <c r="L8" s="16">
        <v>9.1100746323776089</v>
      </c>
      <c r="M8" s="16">
        <v>152.14016909458601</v>
      </c>
      <c r="N8" s="16">
        <v>6.7087450751318638</v>
      </c>
      <c r="O8" s="16">
        <v>5439.4237937249927</v>
      </c>
      <c r="P8" s="16">
        <v>85.274985453780602</v>
      </c>
      <c r="Q8" s="16">
        <v>4.1220804312766566</v>
      </c>
      <c r="R8" s="16">
        <v>0.76813295079174537</v>
      </c>
      <c r="S8" s="16">
        <v>2.7264145578618142</v>
      </c>
      <c r="T8" s="16">
        <v>1.22159437781527</v>
      </c>
      <c r="U8" s="16">
        <v>59.920236022797731</v>
      </c>
      <c r="V8" s="16">
        <v>5.0548297474036286</v>
      </c>
      <c r="W8" s="16">
        <v>6.771915806951416E-2</v>
      </c>
      <c r="X8" s="16">
        <v>7.410021646296997E-3</v>
      </c>
    </row>
    <row r="9" spans="1:24" x14ac:dyDescent="0.25">
      <c r="A9" s="11" t="s">
        <v>52</v>
      </c>
      <c r="B9" s="11" t="s">
        <v>85</v>
      </c>
      <c r="C9" s="16">
        <v>1996.2983679821659</v>
      </c>
      <c r="D9" s="16">
        <v>310.81156396695502</v>
      </c>
      <c r="E9" s="16">
        <v>2359.1043841578189</v>
      </c>
      <c r="F9" s="16">
        <v>90.078125855430102</v>
      </c>
      <c r="G9" s="16">
        <v>11093.95493050386</v>
      </c>
      <c r="H9" s="16">
        <v>209.63224374000481</v>
      </c>
      <c r="I9" s="16">
        <v>2938.218178628802</v>
      </c>
      <c r="J9" s="16">
        <v>43.212118706477618</v>
      </c>
      <c r="K9" s="16">
        <v>6.0418732899793426</v>
      </c>
      <c r="L9" s="16">
        <v>1.88951289831758</v>
      </c>
      <c r="M9" s="16">
        <v>154.38963412775149</v>
      </c>
      <c r="N9" s="16">
        <v>7.0369368965037964</v>
      </c>
      <c r="O9" s="16">
        <v>5839.8546998065531</v>
      </c>
      <c r="P9" s="16">
        <v>91.575458992490482</v>
      </c>
      <c r="Q9" s="16">
        <v>1.9924875549471059</v>
      </c>
      <c r="R9" s="16">
        <v>0.47704942652855381</v>
      </c>
      <c r="S9" s="16">
        <v>6.0816428126944624</v>
      </c>
      <c r="T9" s="16">
        <v>1.832908978585307</v>
      </c>
      <c r="U9" s="16">
        <v>27.099691732997609</v>
      </c>
      <c r="V9" s="16">
        <v>3.3309654376540561</v>
      </c>
      <c r="W9" s="16">
        <v>7.7785230192772933E-2</v>
      </c>
      <c r="X9" s="16">
        <v>8.7547546779643739E-3</v>
      </c>
    </row>
    <row r="10" spans="1:24" x14ac:dyDescent="0.25">
      <c r="A10" s="11" t="s">
        <v>53</v>
      </c>
      <c r="B10" s="11" t="s">
        <v>86</v>
      </c>
      <c r="C10" s="16">
        <v>2327.2124426346309</v>
      </c>
      <c r="D10" s="16">
        <v>330.08372290149492</v>
      </c>
      <c r="E10" s="16">
        <v>1958.8502779195601</v>
      </c>
      <c r="F10" s="16">
        <v>84.580218673140578</v>
      </c>
      <c r="G10" s="16">
        <v>12341.660600122361</v>
      </c>
      <c r="H10" s="16">
        <v>232.25298136295081</v>
      </c>
      <c r="I10" s="16">
        <v>2991.650137457515</v>
      </c>
      <c r="J10" s="16">
        <v>43.834795598805208</v>
      </c>
      <c r="K10" s="16">
        <v>24.881488294792579</v>
      </c>
      <c r="L10" s="16">
        <v>7.1399408306734076</v>
      </c>
      <c r="M10" s="16">
        <v>229.38257367343169</v>
      </c>
      <c r="N10" s="16">
        <v>9.1744625900334444</v>
      </c>
      <c r="O10" s="16">
        <v>7493.6865450775804</v>
      </c>
      <c r="P10" s="16">
        <v>117.2684354986046</v>
      </c>
      <c r="Q10" s="16">
        <v>3.7686706437548732</v>
      </c>
      <c r="R10" s="16">
        <v>0.72293547021643279</v>
      </c>
      <c r="S10" s="16">
        <v>5.1652807507477707</v>
      </c>
      <c r="T10" s="16">
        <v>1.601112964352517</v>
      </c>
      <c r="U10" s="16">
        <v>26.030842068818451</v>
      </c>
      <c r="V10" s="16">
        <v>3.1447124209226538</v>
      </c>
      <c r="W10" s="16">
        <v>6.2537385040913718E-2</v>
      </c>
      <c r="X10" s="16">
        <v>7.3534948547861407E-3</v>
      </c>
    </row>
    <row r="11" spans="1:24" x14ac:dyDescent="0.25">
      <c r="A11" s="11" t="s">
        <v>54</v>
      </c>
      <c r="B11" s="11" t="s">
        <v>87</v>
      </c>
      <c r="C11" s="16">
        <v>2475.6374449933792</v>
      </c>
      <c r="D11" s="16">
        <v>350.14175384288029</v>
      </c>
      <c r="E11" s="16">
        <v>2220.8298780433952</v>
      </c>
      <c r="F11" s="16">
        <v>91.397924236473116</v>
      </c>
      <c r="G11" s="16">
        <v>13589.59326668484</v>
      </c>
      <c r="H11" s="16">
        <v>255.0892125059604</v>
      </c>
      <c r="I11" s="16">
        <v>3168.5429986404188</v>
      </c>
      <c r="J11" s="16">
        <v>45.970177148878342</v>
      </c>
      <c r="K11" s="16">
        <v>19.178969472134199</v>
      </c>
      <c r="L11" s="16">
        <v>5.5326823954144571</v>
      </c>
      <c r="M11" s="16">
        <v>287.37221208242289</v>
      </c>
      <c r="N11" s="16">
        <v>11.08229887997398</v>
      </c>
      <c r="O11" s="16">
        <v>8763.1619509214252</v>
      </c>
      <c r="P11" s="16">
        <v>137.01705480456189</v>
      </c>
      <c r="Q11" s="16">
        <v>3.014832372633907</v>
      </c>
      <c r="R11" s="16">
        <v>0.62463134333160508</v>
      </c>
      <c r="S11" s="16">
        <v>7.1779830218762113</v>
      </c>
      <c r="T11" s="16">
        <v>2.0145951541487941</v>
      </c>
      <c r="U11" s="16">
        <v>37.731017863905848</v>
      </c>
      <c r="V11" s="16">
        <v>3.9570168729351449</v>
      </c>
      <c r="W11" s="16">
        <v>9.9763462678798806E-2</v>
      </c>
      <c r="X11" s="16">
        <v>1.0535410108522219E-2</v>
      </c>
    </row>
    <row r="12" spans="1:24" x14ac:dyDescent="0.25">
      <c r="A12" s="11" t="s">
        <v>55</v>
      </c>
      <c r="B12" s="11" t="s">
        <v>88</v>
      </c>
      <c r="C12" s="16">
        <v>2107.171977746455</v>
      </c>
      <c r="D12" s="16">
        <v>315.67745442102148</v>
      </c>
      <c r="E12" s="16">
        <v>2780.211632436311</v>
      </c>
      <c r="F12" s="16">
        <v>97.741418936337965</v>
      </c>
      <c r="G12" s="16">
        <v>9278.0466385252985</v>
      </c>
      <c r="H12" s="16">
        <v>176.6131343395939</v>
      </c>
      <c r="I12" s="16">
        <v>2744.9221126626949</v>
      </c>
      <c r="J12" s="16">
        <v>40.845923213383116</v>
      </c>
      <c r="K12" s="16">
        <v>11.803818610456791</v>
      </c>
      <c r="L12" s="16">
        <v>3.4478907409623689</v>
      </c>
      <c r="M12" s="16">
        <v>187.59085371699251</v>
      </c>
      <c r="N12" s="16">
        <v>7.816648232140551</v>
      </c>
      <c r="O12" s="16">
        <v>4616.8289374094329</v>
      </c>
      <c r="P12" s="16">
        <v>72.558034864317833</v>
      </c>
      <c r="Q12" s="16">
        <v>2.0967684601628509</v>
      </c>
      <c r="R12" s="16">
        <v>0.46498085971625602</v>
      </c>
      <c r="S12" s="16">
        <v>4.640969845947569</v>
      </c>
      <c r="T12" s="16">
        <v>1.4915250931859769</v>
      </c>
      <c r="U12" s="16">
        <v>26.606071178372979</v>
      </c>
      <c r="V12" s="16">
        <v>3.0399675857491282</v>
      </c>
      <c r="W12" s="16">
        <v>5.259900153058332E-2</v>
      </c>
      <c r="X12" s="16">
        <v>6.4709520783220913E-3</v>
      </c>
    </row>
    <row r="13" spans="1:24" x14ac:dyDescent="0.25">
      <c r="A13" s="11" t="s">
        <v>56</v>
      </c>
      <c r="B13" s="11" t="s">
        <v>89</v>
      </c>
      <c r="C13" s="16">
        <v>1973.2962151605329</v>
      </c>
      <c r="D13" s="16">
        <v>314.51662555809071</v>
      </c>
      <c r="E13" s="16">
        <v>2331.8851686269741</v>
      </c>
      <c r="F13" s="16">
        <v>89.578795869633922</v>
      </c>
      <c r="G13" s="16">
        <v>9885.3759136424851</v>
      </c>
      <c r="H13" s="16">
        <v>187.76333598600439</v>
      </c>
      <c r="I13" s="16">
        <v>2390.6474892288361</v>
      </c>
      <c r="J13" s="16">
        <v>37.231752746832633</v>
      </c>
      <c r="K13" s="16">
        <v>43.810241071401563</v>
      </c>
      <c r="L13" s="16">
        <v>12.51667751500697</v>
      </c>
      <c r="M13" s="16">
        <v>255.6840342201327</v>
      </c>
      <c r="N13" s="16">
        <v>10.08825490796128</v>
      </c>
      <c r="O13" s="16">
        <v>11343.696135309079</v>
      </c>
      <c r="P13" s="16">
        <v>177.11942016173131</v>
      </c>
      <c r="Q13" s="16">
        <v>6.7295542326285904</v>
      </c>
      <c r="R13" s="16">
        <v>1.2108673531199621</v>
      </c>
      <c r="S13" s="16">
        <v>8.4162024154450776</v>
      </c>
      <c r="T13" s="16">
        <v>2.2142240866863498</v>
      </c>
      <c r="U13" s="16">
        <v>42.045838372345393</v>
      </c>
      <c r="V13" s="16">
        <v>4.1778111630603751</v>
      </c>
      <c r="W13" s="16">
        <v>8.0866676543993196E-2</v>
      </c>
      <c r="X13" s="16">
        <v>9.1242237889914042E-3</v>
      </c>
    </row>
    <row r="14" spans="1:24" x14ac:dyDescent="0.25">
      <c r="A14" s="11" t="s">
        <v>57</v>
      </c>
      <c r="B14" s="11" t="s">
        <v>90</v>
      </c>
      <c r="C14" s="16">
        <v>2400.0064152302698</v>
      </c>
      <c r="D14" s="16">
        <v>358.59618094280148</v>
      </c>
      <c r="E14" s="16">
        <v>3460.0842924200542</v>
      </c>
      <c r="F14" s="16">
        <v>112.1762511914154</v>
      </c>
      <c r="G14" s="16">
        <v>14079.076741581879</v>
      </c>
      <c r="H14" s="16">
        <v>264.12175961424299</v>
      </c>
      <c r="I14" s="16">
        <v>2432.791184167776</v>
      </c>
      <c r="J14" s="16">
        <v>38.613042817798039</v>
      </c>
      <c r="K14" s="16">
        <v>24.396768914534011</v>
      </c>
      <c r="L14" s="16">
        <v>7.0010367560764308</v>
      </c>
      <c r="M14" s="16">
        <v>223.40071393526961</v>
      </c>
      <c r="N14" s="16">
        <v>8.9836788432891321</v>
      </c>
      <c r="O14" s="16">
        <v>6809.5578347847077</v>
      </c>
      <c r="P14" s="16">
        <v>106.66779787974239</v>
      </c>
      <c r="Q14" s="16">
        <v>3.473477429734571</v>
      </c>
      <c r="R14" s="16">
        <v>0.67493434415230091</v>
      </c>
      <c r="S14" s="16">
        <v>3.843543396840905</v>
      </c>
      <c r="T14" s="16">
        <v>1.4018262649613269</v>
      </c>
      <c r="U14" s="16">
        <v>24.642236183942391</v>
      </c>
      <c r="V14" s="16">
        <v>3.0712839894124189</v>
      </c>
      <c r="W14" s="16">
        <v>6.4383077256660981E-2</v>
      </c>
      <c r="X14" s="16">
        <v>7.4825214301985146E-3</v>
      </c>
    </row>
    <row r="15" spans="1:24" x14ac:dyDescent="0.25">
      <c r="A15" s="11" t="s">
        <v>58</v>
      </c>
      <c r="B15" s="11" t="s">
        <v>91</v>
      </c>
      <c r="C15" s="16">
        <v>2740.268588200302</v>
      </c>
      <c r="D15" s="16">
        <v>378.213944323058</v>
      </c>
      <c r="E15" s="16">
        <v>2465.2580913450479</v>
      </c>
      <c r="F15" s="16">
        <v>101.24323845713459</v>
      </c>
      <c r="G15" s="16">
        <v>11844.518781861711</v>
      </c>
      <c r="H15" s="16">
        <v>224.4696221761013</v>
      </c>
      <c r="I15" s="16">
        <v>3808.6694394688411</v>
      </c>
      <c r="J15" s="16">
        <v>53.980276844533627</v>
      </c>
      <c r="K15" s="16">
        <v>37.513599628628377</v>
      </c>
      <c r="L15" s="16">
        <v>10.737651252122291</v>
      </c>
      <c r="M15" s="16">
        <v>290.43893384751709</v>
      </c>
      <c r="N15" s="16">
        <v>11.482114730784961</v>
      </c>
      <c r="O15" s="16">
        <v>12917.372944579511</v>
      </c>
      <c r="P15" s="16">
        <v>201.68591305180871</v>
      </c>
      <c r="Q15" s="16">
        <v>5.6432599202279201</v>
      </c>
      <c r="R15" s="16">
        <v>1.0487968290910441</v>
      </c>
      <c r="S15" s="16">
        <v>14.17267547267547</v>
      </c>
      <c r="T15" s="16">
        <v>3.399519884051192</v>
      </c>
      <c r="U15" s="16">
        <v>37.277125802579263</v>
      </c>
      <c r="V15" s="16">
        <v>4.1603185720388822</v>
      </c>
      <c r="W15" s="16">
        <v>0.1090732026143791</v>
      </c>
      <c r="X15" s="16">
        <v>1.159009409941073E-2</v>
      </c>
    </row>
    <row r="16" spans="1:24" x14ac:dyDescent="0.25">
      <c r="A16" s="11" t="s">
        <v>59</v>
      </c>
      <c r="B16" s="11" t="s">
        <v>92</v>
      </c>
      <c r="C16" s="16">
        <v>1291.6935030037259</v>
      </c>
      <c r="D16" s="16">
        <v>311.99023298692669</v>
      </c>
      <c r="E16" s="16">
        <v>1536.1961085116211</v>
      </c>
      <c r="F16" s="16">
        <v>79.814244120139591</v>
      </c>
      <c r="G16" s="16">
        <v>9460.5847474468028</v>
      </c>
      <c r="H16" s="16">
        <v>180.21872620902349</v>
      </c>
      <c r="I16" s="16">
        <v>2872.595379212994</v>
      </c>
      <c r="J16" s="16">
        <v>42.582799256782828</v>
      </c>
      <c r="K16" s="16">
        <v>39.595648007158353</v>
      </c>
      <c r="L16" s="16">
        <v>11.320850842089479</v>
      </c>
      <c r="M16" s="16">
        <v>290.12191117776001</v>
      </c>
      <c r="N16" s="16">
        <v>11.18843549719953</v>
      </c>
      <c r="O16" s="16">
        <v>12829.372728746721</v>
      </c>
      <c r="P16" s="16">
        <v>200.22696677087981</v>
      </c>
      <c r="Q16" s="16">
        <v>5.5962421526898991</v>
      </c>
      <c r="R16" s="16">
        <v>1.024846405186751</v>
      </c>
      <c r="S16" s="16">
        <v>6.8971312612231186</v>
      </c>
      <c r="T16" s="16">
        <v>1.9429496864888181</v>
      </c>
      <c r="U16" s="16">
        <v>39.929231294506032</v>
      </c>
      <c r="V16" s="16">
        <v>4.0335828729112446</v>
      </c>
      <c r="W16" s="16">
        <v>9.1956080927545994E-2</v>
      </c>
      <c r="X16" s="16">
        <v>9.8637436136645978E-3</v>
      </c>
    </row>
  </sheetData>
  <mergeCells count="11"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M3:N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8" customWidth="1"/>
  </cols>
  <sheetData>
    <row r="1" spans="1:24" ht="16.5" x14ac:dyDescent="0.25">
      <c r="A1" s="1" t="s">
        <v>103</v>
      </c>
    </row>
    <row r="2" spans="1:24" x14ac:dyDescent="0.25">
      <c r="A2" s="7" t="s">
        <v>104</v>
      </c>
    </row>
    <row r="3" spans="1:24" x14ac:dyDescent="0.25">
      <c r="A3" s="11"/>
      <c r="B3" s="11"/>
      <c r="C3" s="18" t="s">
        <v>69</v>
      </c>
      <c r="D3" s="19"/>
      <c r="E3" s="18" t="s">
        <v>70</v>
      </c>
      <c r="F3" s="19"/>
      <c r="G3" s="18" t="s">
        <v>71</v>
      </c>
      <c r="H3" s="19"/>
      <c r="I3" s="18" t="s">
        <v>72</v>
      </c>
      <c r="J3" s="19"/>
      <c r="K3" s="18" t="s">
        <v>73</v>
      </c>
      <c r="L3" s="19"/>
      <c r="M3" s="18" t="s">
        <v>74</v>
      </c>
      <c r="N3" s="19"/>
      <c r="O3" s="18" t="s">
        <v>75</v>
      </c>
      <c r="P3" s="19"/>
      <c r="Q3" s="18" t="s">
        <v>76</v>
      </c>
      <c r="R3" s="19"/>
      <c r="S3" s="18" t="s">
        <v>77</v>
      </c>
      <c r="T3" s="19"/>
      <c r="U3" s="18" t="s">
        <v>78</v>
      </c>
      <c r="V3" s="19"/>
      <c r="W3" s="18" t="s">
        <v>79</v>
      </c>
      <c r="X3" s="19"/>
    </row>
    <row r="4" spans="1:24" x14ac:dyDescent="0.25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46</v>
      </c>
      <c r="F4" s="14" t="s">
        <v>47</v>
      </c>
      <c r="G4" s="14" t="s">
        <v>46</v>
      </c>
      <c r="H4" s="14" t="s">
        <v>47</v>
      </c>
      <c r="I4" s="14" t="s">
        <v>46</v>
      </c>
      <c r="J4" s="14" t="s">
        <v>47</v>
      </c>
      <c r="K4" s="14" t="s">
        <v>46</v>
      </c>
      <c r="L4" s="14" t="s">
        <v>47</v>
      </c>
      <c r="M4" s="14" t="s">
        <v>46</v>
      </c>
      <c r="N4" s="14" t="s">
        <v>47</v>
      </c>
      <c r="O4" s="14" t="s">
        <v>46</v>
      </c>
      <c r="P4" s="14" t="s">
        <v>47</v>
      </c>
      <c r="Q4" s="14" t="s">
        <v>46</v>
      </c>
      <c r="R4" s="14" t="s">
        <v>47</v>
      </c>
      <c r="S4" s="14" t="s">
        <v>46</v>
      </c>
      <c r="T4" s="14" t="s">
        <v>47</v>
      </c>
      <c r="U4" s="14" t="s">
        <v>46</v>
      </c>
      <c r="V4" s="14" t="s">
        <v>47</v>
      </c>
      <c r="W4" s="14" t="s">
        <v>46</v>
      </c>
      <c r="X4" s="14" t="s">
        <v>47</v>
      </c>
    </row>
    <row r="5" spans="1:24" x14ac:dyDescent="0.25">
      <c r="A5" s="14" t="s">
        <v>48</v>
      </c>
      <c r="B5" s="11"/>
      <c r="C5" s="15">
        <v>440.34521561477158</v>
      </c>
      <c r="D5" s="11"/>
      <c r="E5" s="15">
        <v>131.94290269235091</v>
      </c>
      <c r="F5" s="11"/>
      <c r="G5" s="15">
        <v>69.02994108969304</v>
      </c>
      <c r="H5" s="11"/>
      <c r="I5" s="15">
        <v>53.102823571368781</v>
      </c>
      <c r="J5" s="11"/>
      <c r="K5" s="15">
        <v>35.597085368292397</v>
      </c>
      <c r="L5" s="11"/>
      <c r="M5" s="15">
        <v>0.387610433143811</v>
      </c>
      <c r="N5" s="11"/>
      <c r="O5" s="15">
        <v>10.316501210799601</v>
      </c>
      <c r="P5" s="11"/>
      <c r="Q5" s="15">
        <v>6.1566250595997492</v>
      </c>
      <c r="R5" s="11"/>
      <c r="S5" s="15">
        <v>0.36585977584176133</v>
      </c>
      <c r="T5" s="11"/>
      <c r="U5" s="15">
        <v>2.9945010994019561</v>
      </c>
      <c r="V5" s="11"/>
      <c r="W5" s="15">
        <v>7.5409552598118497</v>
      </c>
      <c r="X5" s="11"/>
    </row>
    <row r="6" spans="1:24" x14ac:dyDescent="0.25">
      <c r="A6" s="11" t="s">
        <v>49</v>
      </c>
      <c r="B6" s="11" t="s">
        <v>81</v>
      </c>
      <c r="C6" s="16">
        <v>2161</v>
      </c>
      <c r="D6" s="16">
        <v>329.534699376297</v>
      </c>
      <c r="E6" s="16">
        <v>9600</v>
      </c>
      <c r="F6" s="16">
        <v>126.83089419455069</v>
      </c>
      <c r="G6" s="16">
        <v>6600</v>
      </c>
      <c r="H6" s="16">
        <v>80.181964205427789</v>
      </c>
      <c r="I6" s="16">
        <v>26760</v>
      </c>
      <c r="J6" s="16">
        <v>490.03558256472388</v>
      </c>
      <c r="K6" s="16">
        <v>50450</v>
      </c>
      <c r="L6" s="16">
        <v>560.18905527884147</v>
      </c>
      <c r="M6" s="16">
        <v>1.988</v>
      </c>
      <c r="N6" s="16">
        <v>0.26610454425334712</v>
      </c>
      <c r="O6" s="16">
        <v>246.3</v>
      </c>
      <c r="P6" s="16">
        <v>10.637370011090351</v>
      </c>
      <c r="Q6" s="16">
        <v>367.5</v>
      </c>
      <c r="R6" s="16">
        <v>7.0545543229055072</v>
      </c>
      <c r="S6" s="16">
        <v>1.5820000000000001</v>
      </c>
      <c r="T6" s="16">
        <v>0.3910290110252379</v>
      </c>
      <c r="U6" s="16">
        <v>4.7</v>
      </c>
      <c r="V6" s="16">
        <v>3.134794909913396</v>
      </c>
      <c r="W6" s="16">
        <v>30.94</v>
      </c>
      <c r="X6" s="16">
        <v>7.9804061672838484</v>
      </c>
    </row>
    <row r="7" spans="1:24" x14ac:dyDescent="0.25">
      <c r="A7" s="11" t="s">
        <v>50</v>
      </c>
      <c r="B7" s="11" t="s">
        <v>82</v>
      </c>
      <c r="C7" s="16">
        <v>1289.213233361563</v>
      </c>
      <c r="D7" s="16">
        <v>177.28578622491389</v>
      </c>
      <c r="E7" s="16">
        <v>1277.468948012397</v>
      </c>
      <c r="F7" s="16">
        <v>35.859024195586699</v>
      </c>
      <c r="G7" s="16">
        <v>1272.7259524708561</v>
      </c>
      <c r="H7" s="16">
        <v>26.993302004663189</v>
      </c>
      <c r="I7" s="16">
        <v>4808.2273197554696</v>
      </c>
      <c r="J7" s="16">
        <v>91.254560648987834</v>
      </c>
      <c r="K7" s="16">
        <v>1350.2245196149281</v>
      </c>
      <c r="L7" s="16">
        <v>20.529162626959579</v>
      </c>
      <c r="M7" s="16">
        <v>3.087288128763964</v>
      </c>
      <c r="N7" s="16">
        <v>0.33068998788541609</v>
      </c>
      <c r="O7" s="16">
        <v>82.248588778292714</v>
      </c>
      <c r="P7" s="16">
        <v>4.8882575106141122</v>
      </c>
      <c r="Q7" s="16">
        <v>2270.2606540200691</v>
      </c>
      <c r="R7" s="16">
        <v>36.571655739076022</v>
      </c>
      <c r="S7" s="16">
        <v>0.95214072945553629</v>
      </c>
      <c r="T7" s="16">
        <v>0.24996297755132249</v>
      </c>
      <c r="U7" s="16">
        <v>4.0576198242275989</v>
      </c>
      <c r="V7" s="16">
        <v>2.4001682944114222</v>
      </c>
      <c r="W7" s="16">
        <v>17.242051457543159</v>
      </c>
      <c r="X7" s="16">
        <v>4.7578759323575026</v>
      </c>
    </row>
    <row r="8" spans="1:24" x14ac:dyDescent="0.25">
      <c r="A8" s="11" t="s">
        <v>51</v>
      </c>
      <c r="B8" s="11" t="s">
        <v>83</v>
      </c>
      <c r="C8" s="16">
        <v>931.16070458586273</v>
      </c>
      <c r="D8" s="16">
        <v>145.47558945103791</v>
      </c>
      <c r="E8" s="16">
        <v>1063.9104256137889</v>
      </c>
      <c r="F8" s="16">
        <v>33.837298942782724</v>
      </c>
      <c r="G8" s="16">
        <v>1708.76993138239</v>
      </c>
      <c r="H8" s="16">
        <v>29.869831317096828</v>
      </c>
      <c r="I8" s="16">
        <v>3965.4897379557719</v>
      </c>
      <c r="J8" s="16">
        <v>75.996186844311595</v>
      </c>
      <c r="K8" s="16">
        <v>1475.2194203533461</v>
      </c>
      <c r="L8" s="16">
        <v>21.467979171778811</v>
      </c>
      <c r="M8" s="16">
        <v>4.7831266319320376</v>
      </c>
      <c r="N8" s="16">
        <v>0.48049799854977893</v>
      </c>
      <c r="O8" s="16">
        <v>90.186759029179072</v>
      </c>
      <c r="P8" s="16">
        <v>4.9634767786418257</v>
      </c>
      <c r="Q8" s="16">
        <v>1972.948170256878</v>
      </c>
      <c r="R8" s="16">
        <v>31.827637195384369</v>
      </c>
      <c r="S8" s="16">
        <v>1.335056315198168</v>
      </c>
      <c r="T8" s="16">
        <v>0.29339919601554942</v>
      </c>
      <c r="U8" s="16" t="s">
        <v>84</v>
      </c>
      <c r="V8" s="16" t="s">
        <v>84</v>
      </c>
      <c r="W8" s="16">
        <v>39.015198684041231</v>
      </c>
      <c r="X8" s="16">
        <v>7.9037340560316176</v>
      </c>
    </row>
    <row r="9" spans="1:24" x14ac:dyDescent="0.25">
      <c r="A9" s="11" t="s">
        <v>52</v>
      </c>
      <c r="B9" s="11" t="s">
        <v>85</v>
      </c>
      <c r="C9" s="16">
        <v>1162.91995220175</v>
      </c>
      <c r="D9" s="16">
        <v>166.7439750179615</v>
      </c>
      <c r="E9" s="16">
        <v>994.85532780030712</v>
      </c>
      <c r="F9" s="16">
        <v>33.18272445886015</v>
      </c>
      <c r="G9" s="16">
        <v>1394.849992690645</v>
      </c>
      <c r="H9" s="16">
        <v>27.435003285936741</v>
      </c>
      <c r="I9" s="16">
        <v>5693.0857185467321</v>
      </c>
      <c r="J9" s="16">
        <v>107.0062307166959</v>
      </c>
      <c r="K9" s="16">
        <v>1429.113938962754</v>
      </c>
      <c r="L9" s="16">
        <v>21.24505371517829</v>
      </c>
      <c r="M9" s="16">
        <v>1.6928261678687491</v>
      </c>
      <c r="N9" s="16">
        <v>0.2142525169724338</v>
      </c>
      <c r="O9" s="16">
        <v>79.536727352559708</v>
      </c>
      <c r="P9" s="16">
        <v>4.7116129553437478</v>
      </c>
      <c r="Q9" s="16">
        <v>1700.483722535567</v>
      </c>
      <c r="R9" s="16">
        <v>27.525210532984119</v>
      </c>
      <c r="S9" s="16">
        <v>0.64838194779308034</v>
      </c>
      <c r="T9" s="16">
        <v>0.21786894095171491</v>
      </c>
      <c r="U9" s="16" t="s">
        <v>84</v>
      </c>
      <c r="V9" s="16" t="s">
        <v>84</v>
      </c>
      <c r="W9" s="16">
        <v>14.80030736922421</v>
      </c>
      <c r="X9" s="16">
        <v>4.5290705223389356</v>
      </c>
    </row>
    <row r="10" spans="1:24" x14ac:dyDescent="0.25">
      <c r="A10" s="11" t="s">
        <v>53</v>
      </c>
      <c r="B10" s="11" t="s">
        <v>86</v>
      </c>
      <c r="C10" s="16">
        <v>998.99592206177226</v>
      </c>
      <c r="D10" s="16">
        <v>163.5947370046984</v>
      </c>
      <c r="E10" s="16">
        <v>1593.0384520690691</v>
      </c>
      <c r="F10" s="16">
        <v>41.477414407287021</v>
      </c>
      <c r="G10" s="16">
        <v>1369.6407413670211</v>
      </c>
      <c r="H10" s="16">
        <v>29.160141440655192</v>
      </c>
      <c r="I10" s="16">
        <v>7491.2177628860327</v>
      </c>
      <c r="J10" s="16">
        <v>139.78878658544181</v>
      </c>
      <c r="K10" s="16">
        <v>1788.470099190554</v>
      </c>
      <c r="L10" s="16">
        <v>25.69953787303071</v>
      </c>
      <c r="M10" s="16">
        <v>4.8435761606851884</v>
      </c>
      <c r="N10" s="16">
        <v>0.49163711974185481</v>
      </c>
      <c r="O10" s="16">
        <v>130.67376352460181</v>
      </c>
      <c r="P10" s="16">
        <v>6.4315961245122031</v>
      </c>
      <c r="Q10" s="16">
        <v>3348.3858730096849</v>
      </c>
      <c r="R10" s="16">
        <v>53.720377126822861</v>
      </c>
      <c r="S10" s="16">
        <v>1.5387529367853741</v>
      </c>
      <c r="T10" s="16">
        <v>0.33562228719500348</v>
      </c>
      <c r="U10" s="16" t="s">
        <v>84</v>
      </c>
      <c r="V10" s="16" t="s">
        <v>84</v>
      </c>
      <c r="W10" s="16">
        <v>14.629563407487931</v>
      </c>
      <c r="X10" s="16">
        <v>4.6393991485801109</v>
      </c>
    </row>
    <row r="11" spans="1:24" x14ac:dyDescent="0.25">
      <c r="A11" s="11" t="s">
        <v>54</v>
      </c>
      <c r="B11" s="11" t="s">
        <v>87</v>
      </c>
      <c r="C11" s="16">
        <v>604.5881316894729</v>
      </c>
      <c r="D11" s="16">
        <v>79.209386605212785</v>
      </c>
      <c r="E11" s="16">
        <v>722.71525066736672</v>
      </c>
      <c r="F11" s="16">
        <v>21.19690937873056</v>
      </c>
      <c r="G11" s="16">
        <v>1153.438267202057</v>
      </c>
      <c r="H11" s="16">
        <v>18.82701035655683</v>
      </c>
      <c r="I11" s="16">
        <v>5533.3787337404756</v>
      </c>
      <c r="J11" s="16">
        <v>103.0654502778431</v>
      </c>
      <c r="K11" s="16">
        <v>1355.3840567715861</v>
      </c>
      <c r="L11" s="16">
        <v>19.168663288788991</v>
      </c>
      <c r="M11" s="16">
        <v>2.6607598720070209</v>
      </c>
      <c r="N11" s="16">
        <v>0.28296610509992809</v>
      </c>
      <c r="O11" s="16">
        <v>110.7226971839788</v>
      </c>
      <c r="P11" s="16">
        <v>5.2559628610647264</v>
      </c>
      <c r="Q11" s="16">
        <v>2728.772043368273</v>
      </c>
      <c r="R11" s="16">
        <v>43.74956541251165</v>
      </c>
      <c r="S11" s="16">
        <v>0.66168199493097013</v>
      </c>
      <c r="T11" s="16">
        <v>0.2002914591380881</v>
      </c>
      <c r="U11" s="16">
        <v>4.6693197833988576</v>
      </c>
      <c r="V11" s="16">
        <v>2.515173488772128</v>
      </c>
      <c r="W11" s="16">
        <v>12.708456514679529</v>
      </c>
      <c r="X11" s="16">
        <v>3.9001276296894858</v>
      </c>
    </row>
    <row r="12" spans="1:24" x14ac:dyDescent="0.25">
      <c r="A12" s="11" t="s">
        <v>55</v>
      </c>
      <c r="B12" s="11" t="s">
        <v>88</v>
      </c>
      <c r="C12" s="16">
        <v>1554.621793933901</v>
      </c>
      <c r="D12" s="16">
        <v>208.2767204543581</v>
      </c>
      <c r="E12" s="16">
        <v>1405.106214944683</v>
      </c>
      <c r="F12" s="16">
        <v>39.028936984366858</v>
      </c>
      <c r="G12" s="16">
        <v>1896.679318013151</v>
      </c>
      <c r="H12" s="16">
        <v>32.601035482563148</v>
      </c>
      <c r="I12" s="16">
        <v>5965.1506011990286</v>
      </c>
      <c r="J12" s="16">
        <v>112.1806628802136</v>
      </c>
      <c r="K12" s="16">
        <v>1722.932234349264</v>
      </c>
      <c r="L12" s="16">
        <v>24.61639388946119</v>
      </c>
      <c r="M12" s="16">
        <v>4.2033279649774249</v>
      </c>
      <c r="N12" s="16">
        <v>0.43349581965672812</v>
      </c>
      <c r="O12" s="16">
        <v>164.31527788110131</v>
      </c>
      <c r="P12" s="16">
        <v>7.4415418084562868</v>
      </c>
      <c r="Q12" s="16">
        <v>2925.83627864239</v>
      </c>
      <c r="R12" s="16">
        <v>46.995882527162813</v>
      </c>
      <c r="S12" s="16">
        <v>1.3469334860469091</v>
      </c>
      <c r="T12" s="16">
        <v>0.31296844351801367</v>
      </c>
      <c r="U12" s="16">
        <v>4.5618442102758019</v>
      </c>
      <c r="V12" s="16">
        <v>2.6882098070956699</v>
      </c>
      <c r="W12" s="16">
        <v>24.863754805525499</v>
      </c>
      <c r="X12" s="16">
        <v>6.0517305495570959</v>
      </c>
    </row>
    <row r="13" spans="1:24" x14ac:dyDescent="0.25">
      <c r="A13" s="11" t="s">
        <v>56</v>
      </c>
      <c r="B13" s="11" t="s">
        <v>89</v>
      </c>
      <c r="C13" s="16">
        <v>1073.3870592516839</v>
      </c>
      <c r="D13" s="16">
        <v>161.09678263534579</v>
      </c>
      <c r="E13" s="16">
        <v>1079.8497757682931</v>
      </c>
      <c r="F13" s="16">
        <v>33.881335795076843</v>
      </c>
      <c r="G13" s="16">
        <v>1352.766419439726</v>
      </c>
      <c r="H13" s="16">
        <v>26.877398153998922</v>
      </c>
      <c r="I13" s="16">
        <v>5018.6668818932822</v>
      </c>
      <c r="J13" s="16">
        <v>94.770003871602981</v>
      </c>
      <c r="K13" s="16">
        <v>1269.817906026175</v>
      </c>
      <c r="L13" s="16">
        <v>19.400264194467269</v>
      </c>
      <c r="M13" s="16">
        <v>4.6437075055275736</v>
      </c>
      <c r="N13" s="16">
        <v>0.46890557845670638</v>
      </c>
      <c r="O13" s="16">
        <v>131.61567790375369</v>
      </c>
      <c r="P13" s="16">
        <v>6.2670149606235066</v>
      </c>
      <c r="Q13" s="16">
        <v>3157.5712073342479</v>
      </c>
      <c r="R13" s="16">
        <v>50.63328359553978</v>
      </c>
      <c r="S13" s="16">
        <v>1.694331258865561</v>
      </c>
      <c r="T13" s="16">
        <v>0.35604702885839151</v>
      </c>
      <c r="U13" s="16">
        <v>4.7738594460166368</v>
      </c>
      <c r="V13" s="16">
        <v>2.7225865991501759</v>
      </c>
      <c r="W13" s="16">
        <v>20.589617956978959</v>
      </c>
      <c r="X13" s="16">
        <v>5.3745631496399291</v>
      </c>
    </row>
    <row r="14" spans="1:24" x14ac:dyDescent="0.25">
      <c r="A14" s="11" t="s">
        <v>57</v>
      </c>
      <c r="B14" s="11" t="s">
        <v>90</v>
      </c>
      <c r="C14" s="16">
        <v>1899.791884988211</v>
      </c>
      <c r="D14" s="16">
        <v>247.83949002019389</v>
      </c>
      <c r="E14" s="16">
        <v>1507.058231086876</v>
      </c>
      <c r="F14" s="16">
        <v>41.656939736649441</v>
      </c>
      <c r="G14" s="16">
        <v>2049.2427780109952</v>
      </c>
      <c r="H14" s="16">
        <v>34.605964114551348</v>
      </c>
      <c r="I14" s="16">
        <v>9029.5480137905888</v>
      </c>
      <c r="J14" s="16">
        <v>167.4929319609698</v>
      </c>
      <c r="K14" s="16">
        <v>1542.3593368235511</v>
      </c>
      <c r="L14" s="16">
        <v>23.12097029447715</v>
      </c>
      <c r="M14" s="16">
        <v>5.2858899270712252</v>
      </c>
      <c r="N14" s="16">
        <v>0.53200881099619368</v>
      </c>
      <c r="O14" s="16">
        <v>169.90024646986919</v>
      </c>
      <c r="P14" s="16">
        <v>7.6508951277142474</v>
      </c>
      <c r="Q14" s="16">
        <v>4694.9775467606487</v>
      </c>
      <c r="R14" s="16">
        <v>75.110700462817107</v>
      </c>
      <c r="S14" s="16">
        <v>1.9312467148275121</v>
      </c>
      <c r="T14" s="16">
        <v>0.39698179799807559</v>
      </c>
      <c r="U14" s="16">
        <v>12.1224621065174</v>
      </c>
      <c r="V14" s="16">
        <v>5.9447891060608606</v>
      </c>
      <c r="W14" s="16">
        <v>25.514643939986598</v>
      </c>
      <c r="X14" s="16">
        <v>6.1712405902161036</v>
      </c>
    </row>
    <row r="15" spans="1:24" x14ac:dyDescent="0.25">
      <c r="A15" s="11" t="s">
        <v>58</v>
      </c>
      <c r="B15" s="11" t="s">
        <v>91</v>
      </c>
      <c r="C15" s="16">
        <v>2078.0945772533569</v>
      </c>
      <c r="D15" s="16">
        <v>267.6365712020451</v>
      </c>
      <c r="E15" s="16">
        <v>1668.608338863648</v>
      </c>
      <c r="F15" s="16">
        <v>44.936431382280958</v>
      </c>
      <c r="G15" s="16">
        <v>1610.7431744584619</v>
      </c>
      <c r="H15" s="16">
        <v>32.648694281577043</v>
      </c>
      <c r="I15" s="16">
        <v>7296.8560912291387</v>
      </c>
      <c r="J15" s="16">
        <v>136.76337403037081</v>
      </c>
      <c r="K15" s="16">
        <v>2296.3724961961061</v>
      </c>
      <c r="L15" s="16">
        <v>31.54820420838946</v>
      </c>
      <c r="M15" s="16">
        <v>6.5049835856702467</v>
      </c>
      <c r="N15" s="16">
        <v>0.65047161536002074</v>
      </c>
      <c r="O15" s="16">
        <v>145.0497143467598</v>
      </c>
      <c r="P15" s="16">
        <v>7.2159354623194751</v>
      </c>
      <c r="Q15" s="16">
        <v>4770.3381625657421</v>
      </c>
      <c r="R15" s="16">
        <v>76.35843944769718</v>
      </c>
      <c r="S15" s="16">
        <v>2.2123002257336339</v>
      </c>
      <c r="T15" s="16">
        <v>0.4546453644022288</v>
      </c>
      <c r="U15" s="16">
        <v>5.3806032151442311</v>
      </c>
      <c r="V15" s="16">
        <v>3.12822821246372</v>
      </c>
      <c r="W15" s="16">
        <v>20.489654283978361</v>
      </c>
      <c r="X15" s="16">
        <v>5.86834278726415</v>
      </c>
    </row>
    <row r="16" spans="1:24" x14ac:dyDescent="0.25">
      <c r="A16" s="11" t="s">
        <v>59</v>
      </c>
      <c r="B16" s="11" t="s">
        <v>92</v>
      </c>
      <c r="C16" s="16">
        <v>1993.961204194321</v>
      </c>
      <c r="D16" s="16">
        <v>255.1576671114253</v>
      </c>
      <c r="E16" s="16">
        <v>935.59854127037079</v>
      </c>
      <c r="F16" s="16">
        <v>36.351512639077647</v>
      </c>
      <c r="G16" s="16">
        <v>1077.1784827904251</v>
      </c>
      <c r="H16" s="16">
        <v>26.77451913997179</v>
      </c>
      <c r="I16" s="16">
        <v>5330.7614083034096</v>
      </c>
      <c r="J16" s="16">
        <v>101.05124329200601</v>
      </c>
      <c r="K16" s="16">
        <v>1766.427824913349</v>
      </c>
      <c r="L16" s="16">
        <v>25.361965107043119</v>
      </c>
      <c r="M16" s="16">
        <v>7.8717167755536179</v>
      </c>
      <c r="N16" s="16">
        <v>0.77357248359397746</v>
      </c>
      <c r="O16" s="16">
        <v>166.5757416342949</v>
      </c>
      <c r="P16" s="16">
        <v>7.6605005101123371</v>
      </c>
      <c r="Q16" s="16">
        <v>5531.5814581758386</v>
      </c>
      <c r="R16" s="16">
        <v>88.41101366324375</v>
      </c>
      <c r="S16" s="16">
        <v>2.7270513358788051</v>
      </c>
      <c r="T16" s="16">
        <v>0.5254471535924381</v>
      </c>
      <c r="U16" s="16">
        <v>4.5469856365370589</v>
      </c>
      <c r="V16" s="16">
        <v>2.7044308860258801</v>
      </c>
      <c r="W16" s="16">
        <v>25.813922767653839</v>
      </c>
      <c r="X16" s="16">
        <v>6.3021292163055689</v>
      </c>
    </row>
  </sheetData>
  <mergeCells count="11"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M3:N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8" customWidth="1"/>
  </cols>
  <sheetData>
    <row r="1" spans="1:24" ht="16.5" x14ac:dyDescent="0.25">
      <c r="A1" s="1" t="s">
        <v>105</v>
      </c>
    </row>
    <row r="2" spans="1:24" x14ac:dyDescent="0.25">
      <c r="A2" s="7" t="s">
        <v>106</v>
      </c>
    </row>
    <row r="3" spans="1:24" x14ac:dyDescent="0.25">
      <c r="A3" s="11"/>
      <c r="B3" s="11"/>
      <c r="C3" s="18" t="s">
        <v>69</v>
      </c>
      <c r="D3" s="19"/>
      <c r="E3" s="18" t="s">
        <v>70</v>
      </c>
      <c r="F3" s="19"/>
      <c r="G3" s="18" t="s">
        <v>71</v>
      </c>
      <c r="H3" s="19"/>
      <c r="I3" s="18" t="s">
        <v>72</v>
      </c>
      <c r="J3" s="19"/>
      <c r="K3" s="18" t="s">
        <v>73</v>
      </c>
      <c r="L3" s="19"/>
      <c r="M3" s="18" t="s">
        <v>74</v>
      </c>
      <c r="N3" s="19"/>
      <c r="O3" s="18" t="s">
        <v>75</v>
      </c>
      <c r="P3" s="19"/>
      <c r="Q3" s="18" t="s">
        <v>76</v>
      </c>
      <c r="R3" s="19"/>
      <c r="S3" s="18" t="s">
        <v>77</v>
      </c>
      <c r="T3" s="19"/>
      <c r="U3" s="18" t="s">
        <v>78</v>
      </c>
      <c r="V3" s="19"/>
      <c r="W3" s="18" t="s">
        <v>79</v>
      </c>
      <c r="X3" s="19"/>
    </row>
    <row r="4" spans="1:24" x14ac:dyDescent="0.25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46</v>
      </c>
      <c r="F4" s="14" t="s">
        <v>47</v>
      </c>
      <c r="G4" s="14" t="s">
        <v>46</v>
      </c>
      <c r="H4" s="14" t="s">
        <v>47</v>
      </c>
      <c r="I4" s="14" t="s">
        <v>46</v>
      </c>
      <c r="J4" s="14" t="s">
        <v>47</v>
      </c>
      <c r="K4" s="14" t="s">
        <v>46</v>
      </c>
      <c r="L4" s="14" t="s">
        <v>47</v>
      </c>
      <c r="M4" s="14" t="s">
        <v>46</v>
      </c>
      <c r="N4" s="14" t="s">
        <v>47</v>
      </c>
      <c r="O4" s="14" t="s">
        <v>46</v>
      </c>
      <c r="P4" s="14" t="s">
        <v>47</v>
      </c>
      <c r="Q4" s="14" t="s">
        <v>46</v>
      </c>
      <c r="R4" s="14" t="s">
        <v>47</v>
      </c>
      <c r="S4" s="14" t="s">
        <v>46</v>
      </c>
      <c r="T4" s="14" t="s">
        <v>47</v>
      </c>
      <c r="U4" s="14" t="s">
        <v>46</v>
      </c>
      <c r="V4" s="14" t="s">
        <v>47</v>
      </c>
      <c r="W4" s="14" t="s">
        <v>46</v>
      </c>
      <c r="X4" s="14" t="s">
        <v>47</v>
      </c>
    </row>
    <row r="5" spans="1:24" x14ac:dyDescent="0.25">
      <c r="A5" s="14" t="s">
        <v>48</v>
      </c>
      <c r="B5" s="11"/>
      <c r="C5" s="15">
        <v>440.34521561477158</v>
      </c>
      <c r="D5" s="11"/>
      <c r="E5" s="15">
        <v>131.94290269235091</v>
      </c>
      <c r="F5" s="11"/>
      <c r="G5" s="15">
        <v>69.02994108969304</v>
      </c>
      <c r="H5" s="11"/>
      <c r="I5" s="15">
        <v>53.102823571368781</v>
      </c>
      <c r="J5" s="11"/>
      <c r="K5" s="15">
        <v>35.597085368292397</v>
      </c>
      <c r="L5" s="11"/>
      <c r="M5" s="15">
        <v>0.3868255898851472</v>
      </c>
      <c r="N5" s="11"/>
      <c r="O5" s="15">
        <v>10.316501210799601</v>
      </c>
      <c r="P5" s="11"/>
      <c r="Q5" s="15">
        <v>6.1566250595997492</v>
      </c>
      <c r="R5" s="11"/>
      <c r="S5" s="15">
        <v>0.36585977584176133</v>
      </c>
      <c r="T5" s="11"/>
      <c r="U5" s="15">
        <v>2.9945010994019561</v>
      </c>
      <c r="V5" s="11"/>
      <c r="W5" s="15">
        <v>7.5409552598118497</v>
      </c>
      <c r="X5" s="11"/>
    </row>
    <row r="6" spans="1:24" x14ac:dyDescent="0.25">
      <c r="A6" s="11" t="s">
        <v>49</v>
      </c>
      <c r="B6" s="11" t="s">
        <v>95</v>
      </c>
      <c r="C6" s="16">
        <v>2161</v>
      </c>
      <c r="D6" s="16">
        <v>329.534699376297</v>
      </c>
      <c r="E6" s="16">
        <v>9600</v>
      </c>
      <c r="F6" s="16">
        <v>126.83089419455069</v>
      </c>
      <c r="G6" s="16">
        <v>6600</v>
      </c>
      <c r="H6" s="16">
        <v>80.181964205427789</v>
      </c>
      <c r="I6" s="16">
        <v>26760</v>
      </c>
      <c r="J6" s="16">
        <v>490.03558256472388</v>
      </c>
      <c r="K6" s="16">
        <v>50450</v>
      </c>
      <c r="L6" s="16">
        <v>560.18905527884147</v>
      </c>
      <c r="M6" s="16">
        <v>1.988</v>
      </c>
      <c r="N6" s="16">
        <v>0.26610454425334712</v>
      </c>
      <c r="O6" s="16">
        <v>246.3</v>
      </c>
      <c r="P6" s="16">
        <v>10.637370011090351</v>
      </c>
      <c r="Q6" s="16">
        <v>367.5</v>
      </c>
      <c r="R6" s="16">
        <v>7.0545543229055072</v>
      </c>
      <c r="S6" s="16">
        <v>1.5820000000000001</v>
      </c>
      <c r="T6" s="16">
        <v>0.3910290110252379</v>
      </c>
      <c r="U6" s="16">
        <v>4.7</v>
      </c>
      <c r="V6" s="16">
        <v>3.134794909913396</v>
      </c>
      <c r="W6" s="16">
        <v>30.94</v>
      </c>
      <c r="X6" s="16">
        <v>7.9804061672838467</v>
      </c>
    </row>
    <row r="7" spans="1:24" x14ac:dyDescent="0.25">
      <c r="A7" s="11" t="s">
        <v>50</v>
      </c>
      <c r="B7" s="11" t="s">
        <v>82</v>
      </c>
      <c r="C7" s="16">
        <v>1855.1559917355371</v>
      </c>
      <c r="D7" s="16">
        <v>255.78741409223761</v>
      </c>
      <c r="E7" s="16">
        <v>1838.2561641737709</v>
      </c>
      <c r="F7" s="16">
        <v>51.466609017766153</v>
      </c>
      <c r="G7" s="16">
        <v>1831.4310739792479</v>
      </c>
      <c r="H7" s="16">
        <v>38.898385115184453</v>
      </c>
      <c r="I7" s="16">
        <v>6918.9576177498211</v>
      </c>
      <c r="J7" s="16">
        <v>131.31066635550729</v>
      </c>
      <c r="K7" s="16">
        <v>1942.950198564532</v>
      </c>
      <c r="L7" s="16">
        <v>29.567368044470928</v>
      </c>
      <c r="M7" s="16">
        <v>4.4425552903739067</v>
      </c>
      <c r="N7" s="16">
        <v>0.47607060411113689</v>
      </c>
      <c r="O7" s="16">
        <v>118.3543252080856</v>
      </c>
      <c r="P7" s="16">
        <v>7.0314365148572104</v>
      </c>
      <c r="Q7" s="16">
        <v>3266.866602140743</v>
      </c>
      <c r="R7" s="16">
        <v>52.625206324420297</v>
      </c>
      <c r="S7" s="16">
        <v>1.3701143717080511</v>
      </c>
      <c r="T7" s="16">
        <v>0.36015137507007988</v>
      </c>
      <c r="U7" s="16">
        <v>5.8388461538461547</v>
      </c>
      <c r="V7" s="16">
        <v>3.452509678681257</v>
      </c>
      <c r="W7" s="16">
        <v>24.811019809244311</v>
      </c>
      <c r="X7" s="16">
        <v>6.8478574366148841</v>
      </c>
    </row>
    <row r="8" spans="1:24" x14ac:dyDescent="0.25">
      <c r="A8" s="11" t="s">
        <v>51</v>
      </c>
      <c r="B8" s="11" t="s">
        <v>83</v>
      </c>
      <c r="C8" s="16">
        <v>1406.4359504132231</v>
      </c>
      <c r="D8" s="16">
        <v>219.74517583078531</v>
      </c>
      <c r="E8" s="16">
        <v>1606.942671907703</v>
      </c>
      <c r="F8" s="16">
        <v>50.786440328197081</v>
      </c>
      <c r="G8" s="16">
        <v>2580.9459641557742</v>
      </c>
      <c r="H8" s="16">
        <v>44.976744032826673</v>
      </c>
      <c r="I8" s="16">
        <v>5989.5217882247234</v>
      </c>
      <c r="J8" s="16">
        <v>114.804843860625</v>
      </c>
      <c r="K8" s="16">
        <v>2228.188557908999</v>
      </c>
      <c r="L8" s="16">
        <v>32.445660856270223</v>
      </c>
      <c r="M8" s="16">
        <v>7.224490055688146</v>
      </c>
      <c r="N8" s="16">
        <v>0.72550825600435076</v>
      </c>
      <c r="O8" s="16">
        <v>136.21912901307971</v>
      </c>
      <c r="P8" s="16">
        <v>7.4818634759436344</v>
      </c>
      <c r="Q8" s="16">
        <v>2979.9638465042131</v>
      </c>
      <c r="R8" s="16">
        <v>48.07213286325743</v>
      </c>
      <c r="S8" s="16">
        <v>2.016484574868322</v>
      </c>
      <c r="T8" s="16">
        <v>0.44348190707224427</v>
      </c>
      <c r="U8" s="16" t="s">
        <v>96</v>
      </c>
      <c r="V8" s="16" t="s">
        <v>96</v>
      </c>
      <c r="W8" s="16">
        <v>58.929009537784303</v>
      </c>
      <c r="X8" s="16">
        <v>11.93240386886602</v>
      </c>
    </row>
    <row r="9" spans="1:24" x14ac:dyDescent="0.25">
      <c r="A9" s="11" t="s">
        <v>52</v>
      </c>
      <c r="B9" s="11" t="s">
        <v>85</v>
      </c>
      <c r="C9" s="16">
        <v>1712.279958677686</v>
      </c>
      <c r="D9" s="16">
        <v>245.297510813229</v>
      </c>
      <c r="E9" s="16">
        <v>1464.8220940323649</v>
      </c>
      <c r="F9" s="16">
        <v>48.996566709356102</v>
      </c>
      <c r="G9" s="16">
        <v>2053.7730764047969</v>
      </c>
      <c r="H9" s="16">
        <v>40.508048692439353</v>
      </c>
      <c r="I9" s="16">
        <v>8382.4828703347903</v>
      </c>
      <c r="J9" s="16">
        <v>157.53227954437159</v>
      </c>
      <c r="K9" s="16">
        <v>2104.2232113395912</v>
      </c>
      <c r="L9" s="16">
        <v>31.26845272049248</v>
      </c>
      <c r="M9" s="16">
        <v>2.492512330946699</v>
      </c>
      <c r="N9" s="16">
        <v>0.31541975486635021</v>
      </c>
      <c r="O9" s="16">
        <v>117.10964625445899</v>
      </c>
      <c r="P9" s="16">
        <v>6.945638962348224</v>
      </c>
      <c r="Q9" s="16">
        <v>2503.7872921885669</v>
      </c>
      <c r="R9" s="16">
        <v>40.527430796959969</v>
      </c>
      <c r="S9" s="16">
        <v>0.95467569601203917</v>
      </c>
      <c r="T9" s="16">
        <v>0.32008581301265471</v>
      </c>
      <c r="U9" s="16" t="s">
        <v>96</v>
      </c>
      <c r="V9" s="16" t="s">
        <v>96</v>
      </c>
      <c r="W9" s="16">
        <v>21.79192956713133</v>
      </c>
      <c r="X9" s="16">
        <v>6.6579724791172339</v>
      </c>
    </row>
    <row r="10" spans="1:24" x14ac:dyDescent="0.25">
      <c r="A10" s="11" t="s">
        <v>53</v>
      </c>
      <c r="B10" s="11" t="s">
        <v>86</v>
      </c>
      <c r="C10" s="16">
        <v>1343.927685950413</v>
      </c>
      <c r="D10" s="16">
        <v>220.0967026414709</v>
      </c>
      <c r="E10" s="16">
        <v>2143.0803001684621</v>
      </c>
      <c r="F10" s="16">
        <v>55.671983543081033</v>
      </c>
      <c r="G10" s="16">
        <v>1842.548174100526</v>
      </c>
      <c r="H10" s="16">
        <v>39.140355795824107</v>
      </c>
      <c r="I10" s="16">
        <v>10077.77382338857</v>
      </c>
      <c r="J10" s="16">
        <v>188.03574057018301</v>
      </c>
      <c r="K10" s="16">
        <v>2405.9902835599801</v>
      </c>
      <c r="L10" s="16">
        <v>34.547308423194288</v>
      </c>
      <c r="M10" s="16">
        <v>6.5159586316626896</v>
      </c>
      <c r="N10" s="16">
        <v>0.66106610987803927</v>
      </c>
      <c r="O10" s="16">
        <v>175.792598097503</v>
      </c>
      <c r="P10" s="16">
        <v>8.6426017369282615</v>
      </c>
      <c r="Q10" s="16">
        <v>4504.5113584604869</v>
      </c>
      <c r="R10" s="16">
        <v>72.269398505875301</v>
      </c>
      <c r="S10" s="16">
        <v>2.0700511662904439</v>
      </c>
      <c r="T10" s="16">
        <v>0.45174421046727431</v>
      </c>
      <c r="U10" s="16" t="s">
        <v>96</v>
      </c>
      <c r="V10" s="16" t="s">
        <v>96</v>
      </c>
      <c r="W10" s="16">
        <v>19.680836390315481</v>
      </c>
      <c r="X10" s="16">
        <v>6.2475638378512004</v>
      </c>
    </row>
    <row r="11" spans="1:24" x14ac:dyDescent="0.25">
      <c r="A11" s="11" t="s">
        <v>54</v>
      </c>
      <c r="B11" s="11" t="s">
        <v>87</v>
      </c>
      <c r="C11" s="16">
        <v>1062.640495867769</v>
      </c>
      <c r="D11" s="16">
        <v>140.2956939124465</v>
      </c>
      <c r="E11" s="16">
        <v>1270.263923630609</v>
      </c>
      <c r="F11" s="16">
        <v>37.227131461747177</v>
      </c>
      <c r="G11" s="16">
        <v>2027.3143781161571</v>
      </c>
      <c r="H11" s="16">
        <v>33.176142055560803</v>
      </c>
      <c r="I11" s="16">
        <v>9725.6165201506337</v>
      </c>
      <c r="J11" s="16">
        <v>181.12719728419091</v>
      </c>
      <c r="K11" s="16">
        <v>2382.2597743595502</v>
      </c>
      <c r="L11" s="16">
        <v>33.670755261623697</v>
      </c>
      <c r="M11" s="16">
        <v>4.6766237072394583</v>
      </c>
      <c r="N11" s="16">
        <v>0.49675502516915021</v>
      </c>
      <c r="O11" s="16">
        <v>194.60921521997619</v>
      </c>
      <c r="P11" s="16">
        <v>9.2393207952949172</v>
      </c>
      <c r="Q11" s="16">
        <v>4796.1637440218628</v>
      </c>
      <c r="R11" s="16">
        <v>76.895219628622996</v>
      </c>
      <c r="S11" s="16">
        <v>1.16299021820918</v>
      </c>
      <c r="T11" s="16">
        <v>0.35126768421062282</v>
      </c>
      <c r="U11" s="16">
        <v>8.2069230769230774</v>
      </c>
      <c r="V11" s="16">
        <v>4.4184669820530562</v>
      </c>
      <c r="W11" s="16">
        <v>22.336727806309611</v>
      </c>
      <c r="X11" s="16">
        <v>6.8631310820164693</v>
      </c>
    </row>
    <row r="12" spans="1:24" x14ac:dyDescent="0.25">
      <c r="A12" s="11" t="s">
        <v>55</v>
      </c>
      <c r="B12" s="11" t="s">
        <v>88</v>
      </c>
      <c r="C12" s="16">
        <v>2190.0216942148759</v>
      </c>
      <c r="D12" s="16">
        <v>292.77322076656179</v>
      </c>
      <c r="E12" s="16">
        <v>1979.3966001327281</v>
      </c>
      <c r="F12" s="16">
        <v>54.679100310456157</v>
      </c>
      <c r="G12" s="16">
        <v>2671.8838431478239</v>
      </c>
      <c r="H12" s="16">
        <v>45.94353042748741</v>
      </c>
      <c r="I12" s="16">
        <v>8403.207311810158</v>
      </c>
      <c r="J12" s="16">
        <v>158.02034410310091</v>
      </c>
      <c r="K12" s="16">
        <v>2427.1234235941929</v>
      </c>
      <c r="L12" s="16">
        <v>34.725823274394287</v>
      </c>
      <c r="M12" s="16">
        <v>5.9212983293556087</v>
      </c>
      <c r="N12" s="16">
        <v>0.61036928954216352</v>
      </c>
      <c r="O12" s="16">
        <v>231.4736771700357</v>
      </c>
      <c r="P12" s="16">
        <v>10.490803045238559</v>
      </c>
      <c r="Q12" s="16">
        <v>4121.6744477340017</v>
      </c>
      <c r="R12" s="16">
        <v>66.205064883188342</v>
      </c>
      <c r="S12" s="16">
        <v>1.897447705041384</v>
      </c>
      <c r="T12" s="16">
        <v>0.44143000762707219</v>
      </c>
      <c r="U12" s="16">
        <v>6.4263461538461542</v>
      </c>
      <c r="V12" s="16">
        <v>3.788270320762622</v>
      </c>
      <c r="W12" s="16">
        <v>35.025986793837127</v>
      </c>
      <c r="X12" s="16">
        <v>8.5261609684385302</v>
      </c>
    </row>
    <row r="13" spans="1:24" x14ac:dyDescent="0.25">
      <c r="A13" s="11" t="s">
        <v>56</v>
      </c>
      <c r="B13" s="11" t="s">
        <v>89</v>
      </c>
      <c r="C13" s="16">
        <v>1631.9121900826451</v>
      </c>
      <c r="D13" s="16">
        <v>244.8955027847235</v>
      </c>
      <c r="E13" s="16">
        <v>1641.737709939252</v>
      </c>
      <c r="F13" s="16">
        <v>51.818871554688691</v>
      </c>
      <c r="G13" s="16">
        <v>2056.663522436329</v>
      </c>
      <c r="H13" s="16">
        <v>40.919512726962488</v>
      </c>
      <c r="I13" s="16">
        <v>7630.0749034885994</v>
      </c>
      <c r="J13" s="16">
        <v>144.06404638049051</v>
      </c>
      <c r="K13" s="16">
        <v>1930.553663907591</v>
      </c>
      <c r="L13" s="16">
        <v>29.468891320945779</v>
      </c>
      <c r="M13" s="16">
        <v>7.06000954653938</v>
      </c>
      <c r="N13" s="16">
        <v>0.71265109944821459</v>
      </c>
      <c r="O13" s="16">
        <v>200.1004458977408</v>
      </c>
      <c r="P13" s="16">
        <v>9.5112973554292548</v>
      </c>
      <c r="Q13" s="16">
        <v>4800.5785982691868</v>
      </c>
      <c r="R13" s="16">
        <v>76.981218992170923</v>
      </c>
      <c r="S13" s="16">
        <v>2.5759578630549291</v>
      </c>
      <c r="T13" s="16">
        <v>0.54109324633841083</v>
      </c>
      <c r="U13" s="16">
        <v>7.2578846153846159</v>
      </c>
      <c r="V13" s="16">
        <v>4.1395725801830103</v>
      </c>
      <c r="W13" s="16">
        <v>31.303198826118859</v>
      </c>
      <c r="X13" s="16">
        <v>8.1721740474258944</v>
      </c>
    </row>
    <row r="14" spans="1:24" x14ac:dyDescent="0.25">
      <c r="A14" s="11" t="s">
        <v>57</v>
      </c>
      <c r="B14" s="11" t="s">
        <v>90</v>
      </c>
      <c r="C14" s="16">
        <v>2553.909090909091</v>
      </c>
      <c r="D14" s="16">
        <v>332.74081655161899</v>
      </c>
      <c r="E14" s="16">
        <v>2025.9533411608561</v>
      </c>
      <c r="F14" s="16">
        <v>56.209844228875632</v>
      </c>
      <c r="G14" s="16">
        <v>2754.817410052553</v>
      </c>
      <c r="H14" s="16">
        <v>46.494817084176873</v>
      </c>
      <c r="I14" s="16">
        <v>12138.51103451945</v>
      </c>
      <c r="J14" s="16">
        <v>225.14663004779081</v>
      </c>
      <c r="K14" s="16">
        <v>2073.4089680494808</v>
      </c>
      <c r="L14" s="16">
        <v>31.098334711531979</v>
      </c>
      <c r="M14" s="16">
        <v>7.1058743038981707</v>
      </c>
      <c r="N14" s="16">
        <v>0.71526467200180033</v>
      </c>
      <c r="O14" s="16">
        <v>228.39858799048761</v>
      </c>
      <c r="P14" s="16">
        <v>10.29235365764171</v>
      </c>
      <c r="Q14" s="16">
        <v>6311.5049248462756</v>
      </c>
      <c r="R14" s="16">
        <v>100.97182197791101</v>
      </c>
      <c r="S14" s="16">
        <v>2.5961941309255079</v>
      </c>
      <c r="T14" s="16">
        <v>0.5339349872167648</v>
      </c>
      <c r="U14" s="16">
        <v>16.296346153846159</v>
      </c>
      <c r="V14" s="16">
        <v>7.9909369652668909</v>
      </c>
      <c r="W14" s="16">
        <v>34.299589141599412</v>
      </c>
      <c r="X14" s="16">
        <v>8.2917933880271448</v>
      </c>
    </row>
    <row r="15" spans="1:24" x14ac:dyDescent="0.25">
      <c r="A15" s="11" t="s">
        <v>58</v>
      </c>
      <c r="B15" s="11" t="s">
        <v>91</v>
      </c>
      <c r="C15" s="16">
        <v>2576.2334710743798</v>
      </c>
      <c r="D15" s="16">
        <v>331.09000250672972</v>
      </c>
      <c r="E15" s="16">
        <v>2068.5895145234572</v>
      </c>
      <c r="F15" s="16">
        <v>55.425532779624938</v>
      </c>
      <c r="G15" s="16">
        <v>1996.8535237838571</v>
      </c>
      <c r="H15" s="16">
        <v>40.498789379674072</v>
      </c>
      <c r="I15" s="16">
        <v>9045.9814012332172</v>
      </c>
      <c r="J15" s="16">
        <v>169.5574766373976</v>
      </c>
      <c r="K15" s="16">
        <v>2846.8346684077628</v>
      </c>
      <c r="L15" s="16">
        <v>39.085630740638557</v>
      </c>
      <c r="M15" s="16">
        <v>8.0642895783611781</v>
      </c>
      <c r="N15" s="16">
        <v>0.8061670913010951</v>
      </c>
      <c r="O15" s="16">
        <v>179.8195005945303</v>
      </c>
      <c r="P15" s="16">
        <v>8.9485945436491665</v>
      </c>
      <c r="Q15" s="16">
        <v>5913.833266909588</v>
      </c>
      <c r="R15" s="16">
        <v>94.660817615496185</v>
      </c>
      <c r="S15" s="16">
        <v>2.742609480812642</v>
      </c>
      <c r="T15" s="16">
        <v>0.56334295821644298</v>
      </c>
      <c r="U15" s="16">
        <v>6.6703846153846156</v>
      </c>
      <c r="V15" s="16">
        <v>3.87587279166882</v>
      </c>
      <c r="W15" s="16">
        <v>25.40121790168746</v>
      </c>
      <c r="X15" s="16">
        <v>7.2802452989781843</v>
      </c>
    </row>
    <row r="16" spans="1:24" x14ac:dyDescent="0.25">
      <c r="A16" s="11" t="s">
        <v>59</v>
      </c>
      <c r="B16" s="11" t="s">
        <v>92</v>
      </c>
      <c r="C16" s="16">
        <v>2647.6714876033061</v>
      </c>
      <c r="D16" s="16">
        <v>338.81157270077489</v>
      </c>
      <c r="E16" s="16">
        <v>1242.3298790137319</v>
      </c>
      <c r="F16" s="16">
        <v>47.981508370334922</v>
      </c>
      <c r="G16" s="16">
        <v>1430.3261016035569</v>
      </c>
      <c r="H16" s="16">
        <v>35.542712983234459</v>
      </c>
      <c r="I16" s="16">
        <v>7078.4250758198305</v>
      </c>
      <c r="J16" s="16">
        <v>134.16618009900401</v>
      </c>
      <c r="K16" s="16">
        <v>2345.5424193280401</v>
      </c>
      <c r="L16" s="16">
        <v>33.658365872978592</v>
      </c>
      <c r="M16" s="16">
        <v>10.4524200477327</v>
      </c>
      <c r="N16" s="16">
        <v>1.027049144325749</v>
      </c>
      <c r="O16" s="16">
        <v>221.1867717003567</v>
      </c>
      <c r="P16" s="16">
        <v>10.165161878353411</v>
      </c>
      <c r="Q16" s="16">
        <v>7345.082982236393</v>
      </c>
      <c r="R16" s="16">
        <v>117.3962909337807</v>
      </c>
      <c r="S16" s="16">
        <v>3.62110158013544</v>
      </c>
      <c r="T16" s="16">
        <v>0.69754656060562903</v>
      </c>
      <c r="U16" s="16">
        <v>6.0376923076923079</v>
      </c>
      <c r="V16" s="16">
        <v>3.5928922877935898</v>
      </c>
      <c r="W16" s="16">
        <v>34.276889214966992</v>
      </c>
      <c r="X16" s="16">
        <v>8.3633860917012424</v>
      </c>
    </row>
  </sheetData>
  <mergeCells count="11"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M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Leia-me</vt:lpstr>
      <vt:lpstr>Razão AgV</vt:lpstr>
      <vt:lpstr>Razão AuV</vt:lpstr>
      <vt:lpstr>Razão RhV</vt:lpstr>
      <vt:lpstr>Calc_AgV</vt:lpstr>
      <vt:lpstr>Manual_AgV</vt:lpstr>
      <vt:lpstr>Calc_AuV</vt:lpstr>
      <vt:lpstr>Manual_AuV</vt:lpstr>
      <vt:lpstr>Calc_RhV</vt:lpstr>
      <vt:lpstr>Manual_RhV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Martins</cp:lastModifiedBy>
  <dcterms:created xsi:type="dcterms:W3CDTF">2026-10-22T22:25:12Z</dcterms:created>
  <dcterms:modified xsi:type="dcterms:W3CDTF">2026-10-22T22:25:18Z</dcterms:modified>
</cp:coreProperties>
</file>