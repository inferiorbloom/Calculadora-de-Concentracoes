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8mar\Documents\WorkSpace\CX Calculator V1.0\comparacao_paper\"/>
    </mc:Choice>
  </mc:AlternateContent>
  <xr:revisionPtr revIDLastSave="0" documentId="13_ncr:1_{14ED942B-AA3D-4A11-8C9C-63781B69063D}" xr6:coauthVersionLast="47" xr6:coauthVersionMax="47" xr10:uidLastSave="{00000000-0000-0000-0000-000000000000}"/>
  <bookViews>
    <workbookView xWindow="0" yWindow="0" windowWidth="20175" windowHeight="15480" xr2:uid="{00000000-000D-0000-FFFF-FFFF00000000}"/>
  </bookViews>
  <sheets>
    <sheet name="Notas" sheetId="1" r:id="rId1"/>
    <sheet name="Tabela AgV" sheetId="2" r:id="rId2"/>
    <sheet name="Tabela AuV" sheetId="3" r:id="rId3"/>
    <sheet name="Tabela RhV" sheetId="4" r:id="rId4"/>
    <sheet name="Razões AgV" sheetId="5" r:id="rId5"/>
    <sheet name="Razões AuV" sheetId="6" r:id="rId6"/>
    <sheet name="Razões RhV" sheetId="7" r:id="rId7"/>
    <sheet name="Calc_AgV" sheetId="8" r:id="rId8"/>
    <sheet name="Conv_AgV" sheetId="9" r:id="rId9"/>
    <sheet name="Calc_AuV" sheetId="10" r:id="rId10"/>
    <sheet name="Conv_AuV" sheetId="11" r:id="rId11"/>
    <sheet name="Calc_RhV" sheetId="12" r:id="rId12"/>
    <sheet name="Conv_RhV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7" l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W5" i="7"/>
  <c r="G14" i="4" s="1"/>
  <c r="U5" i="7"/>
  <c r="S5" i="7"/>
  <c r="Q5" i="7"/>
  <c r="O5" i="7"/>
  <c r="M5" i="7"/>
  <c r="G9" i="4" s="1"/>
  <c r="K5" i="7"/>
  <c r="G8" i="4" s="1"/>
  <c r="I5" i="7"/>
  <c r="G7" i="4" s="1"/>
  <c r="G5" i="7"/>
  <c r="G6" i="4" s="1"/>
  <c r="E5" i="7"/>
  <c r="G5" i="4" s="1"/>
  <c r="C5" i="7"/>
  <c r="G4" i="4" s="1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W5" i="6"/>
  <c r="U5" i="6"/>
  <c r="S5" i="6"/>
  <c r="Q5" i="6"/>
  <c r="O5" i="6"/>
  <c r="M5" i="6"/>
  <c r="K5" i="6"/>
  <c r="I5" i="6"/>
  <c r="G5" i="6"/>
  <c r="E5" i="6"/>
  <c r="C5" i="6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Y5" i="5"/>
  <c r="W5" i="5"/>
  <c r="U5" i="5"/>
  <c r="S5" i="5"/>
  <c r="Q5" i="5"/>
  <c r="O5" i="5"/>
  <c r="M5" i="5"/>
  <c r="K5" i="5"/>
  <c r="I5" i="5"/>
  <c r="G5" i="5"/>
  <c r="E5" i="5"/>
  <c r="C5" i="5"/>
  <c r="G13" i="4"/>
  <c r="G12" i="4"/>
  <c r="G11" i="4"/>
  <c r="G10" i="4"/>
  <c r="G14" i="3"/>
  <c r="G13" i="3"/>
  <c r="G12" i="3"/>
  <c r="G11" i="3"/>
  <c r="G10" i="3"/>
  <c r="G9" i="3"/>
  <c r="G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D10" i="4" l="1"/>
  <c r="E14" i="4"/>
  <c r="F14" i="4"/>
  <c r="C14" i="4"/>
  <c r="D14" i="4"/>
  <c r="B14" i="4"/>
  <c r="E13" i="4"/>
  <c r="F13" i="4"/>
  <c r="D13" i="4"/>
  <c r="B13" i="4"/>
  <c r="C13" i="4"/>
  <c r="F12" i="4"/>
  <c r="E12" i="4"/>
  <c r="C12" i="4"/>
  <c r="D12" i="4"/>
  <c r="B12" i="4"/>
  <c r="E11" i="4"/>
  <c r="F11" i="4"/>
  <c r="B11" i="4"/>
  <c r="D11" i="4"/>
  <c r="C11" i="4"/>
  <c r="F10" i="4"/>
  <c r="E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E6" i="4"/>
  <c r="F6" i="4"/>
  <c r="C6" i="4"/>
  <c r="B6" i="4"/>
  <c r="D6" i="4"/>
  <c r="F5" i="4"/>
  <c r="E5" i="4"/>
  <c r="C5" i="4"/>
  <c r="D5" i="4"/>
  <c r="B5" i="4"/>
  <c r="F4" i="4"/>
  <c r="E4" i="4"/>
  <c r="D4" i="4"/>
  <c r="C4" i="4"/>
  <c r="B4" i="4"/>
  <c r="C13" i="3"/>
  <c r="B13" i="3"/>
  <c r="D13" i="3"/>
  <c r="E12" i="3"/>
  <c r="F12" i="3"/>
  <c r="D12" i="3"/>
  <c r="B12" i="3"/>
  <c r="C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14" i="3"/>
  <c r="E14" i="3"/>
  <c r="D14" i="3"/>
  <c r="B14" i="3"/>
  <c r="C14" i="3"/>
  <c r="E13" i="3"/>
  <c r="F13" i="3"/>
  <c r="B9" i="2"/>
  <c r="D9" i="2"/>
  <c r="C9" i="2"/>
</calcChain>
</file>

<file path=xl/sharedStrings.xml><?xml version="1.0" encoding="utf-8"?>
<sst xmlns="http://schemas.openxmlformats.org/spreadsheetml/2006/main" count="570" uniqueCount="94">
  <si>
    <t>Comparação ferramenta computacional × planilhas eletrônicas convencionais (FRX-DE)</t>
  </si>
  <si>
    <t>Abas</t>
  </si>
  <si>
    <t>'Tabela *' = tabelas resumidas para o artigo. 'Razões *' = razão por amostra. 'Calc_*' / 'Conv_*' = valores de entrada (texto azul).</t>
  </si>
  <si>
    <t>Ferramenta</t>
  </si>
  <si>
    <t>Resultados recalculados com a versão corrigida da ferramenta (commit 89a96ea: incerteza da área normalizada sem arredondamento), a partir dos arquivos .txt originais e do FullReport do padrão.</t>
  </si>
  <si>
    <t>Planilhas</t>
  </si>
  <si>
    <t>Cópias das planilhas convencionais com os parâmetros de entrada corrigidos e recalculadas no Excel; os arquivos originais não foram alterados. Correções abaixo.</t>
  </si>
  <si>
    <t>n.d.</t>
  </si>
  <si>
    <t>Não determinado: elemento ausente/abaixo do LD em uma das planilhas.</t>
  </si>
  <si>
    <t>Correções nas planilhas convencionais</t>
  </si>
  <si>
    <t>AgV</t>
  </si>
  <si>
    <t>250226_Raiz_PdTomate_AgV_corrigida.xlsx</t>
  </si>
  <si>
    <t>P: Bg (X7) 2300.0 -&gt; 1792</t>
  </si>
  <si>
    <t>P: incerteza do padrão (L10) 0.0 digitado -&gt; fórmula da aba Padrões</t>
  </si>
  <si>
    <t>S: incerteza do padrão (L10) 0.0 digitado -&gt; fórmula da aba Padrões</t>
  </si>
  <si>
    <t>Cl: incerteza do padrão (L10) 0.0 digitado -&gt; fórmula da aba Padrões</t>
  </si>
  <si>
    <t>Ni: Bg (X7) 6874.0 -&gt; 6476</t>
  </si>
  <si>
    <t>Zn: Bg (X7) 7925.0 -&gt; 7205</t>
  </si>
  <si>
    <t>Br: incerteza do padrão (L10) 0.0 digitado -&gt; fórmula da aba Padrões</t>
  </si>
  <si>
    <t>AuV</t>
  </si>
  <si>
    <t>250326_Lucas_Raiz_AuV_corrigida.xlsx</t>
  </si>
  <si>
    <t>S: Bg (X7) Insira Bg -&gt; 1417</t>
  </si>
  <si>
    <t>Cl: Bg (X7) Insira Bg -&gt; 1863</t>
  </si>
  <si>
    <t>K: Bg (X7) Insira Bg -&gt; 2730</t>
  </si>
  <si>
    <t>Ca: Bg (X7) Insira Bg -&gt; 2821</t>
  </si>
  <si>
    <t>Mn: Bg (X7) Insira Bg -&gt; 5469</t>
  </si>
  <si>
    <t>Fe: Bg (X7) Insira Bg -&gt; 6417</t>
  </si>
  <si>
    <t>Ni: Bg (X7) Insira Bg -&gt; 8966</t>
  </si>
  <si>
    <t>Cu: Bg (X7) Insira Bg -&gt; 9767</t>
  </si>
  <si>
    <t>Zn: Bg (X7) Insira Bg -&gt; 11316</t>
  </si>
  <si>
    <t>Se: Bg (X7) Insira Bg -&gt; 11683</t>
  </si>
  <si>
    <t>RhV</t>
  </si>
  <si>
    <t>110326_Raiz_FolhaTomate_RhV_corrigida.xlsx</t>
  </si>
  <si>
    <t>Cr: Bg (X7) 6647.0 -&gt; 6674</t>
  </si>
  <si>
    <t>Fator de normalização (Norm) digitado como 1 em 110 células -&gt; restaurada a fórmula Ar(padrão)/Ar(amostra)</t>
  </si>
  <si>
    <t>Tabela — Razão entre os resultados da ferramenta computacional e da planilha eletrônica convencional (alvo Ag), amostras de raiz de cana-de-açúcar (n = 10).</t>
  </si>
  <si>
    <t>Elemento</t>
  </si>
  <si>
    <t>n</t>
  </si>
  <si>
    <t>Concentração
média</t>
  </si>
  <si>
    <t>Concentração
DP</t>
  </si>
  <si>
    <t>Incerteza
média</t>
  </si>
  <si>
    <t>Incerteza
DP</t>
  </si>
  <si>
    <t>LD</t>
  </si>
  <si>
    <t>P</t>
  </si>
  <si>
    <t>S</t>
  </si>
  <si>
    <t>Cl</t>
  </si>
  <si>
    <t>K</t>
  </si>
  <si>
    <t>Ca</t>
  </si>
  <si>
    <t>Cr</t>
  </si>
  <si>
    <t>Mn</t>
  </si>
  <si>
    <t>Fe</t>
  </si>
  <si>
    <t>Ni</t>
  </si>
  <si>
    <t>Cu</t>
  </si>
  <si>
    <t>Zn</t>
  </si>
  <si>
    <t>Br</t>
  </si>
  <si>
    <t>Razão = valor da ferramenta / valor da planilha. Média e DP sobre as amostras R2–R11; n &lt; 10 quando o elemento ficou abaixo do LD em alguma amostra. LD calculado a partir do padrão (Tomato Leaves, NIST SRM 1573a).</t>
  </si>
  <si>
    <t>Tabela — Razão entre os resultados da ferramenta computacional e da planilha eletrônica convencional (alvo Au), amostras de raiz de cana-de-açúcar (n = 10).</t>
  </si>
  <si>
    <t>Se</t>
  </si>
  <si>
    <t>Tabela — Razão entre os resultados da ferramenta computacional e da planilha eletrônica convencional (alvo Rh), amostras de raiz de cana-de-açúcar (n = 10).</t>
  </si>
  <si>
    <t>Alvo AgV — razão Calculadora / Planilha convencional, por amostra</t>
  </si>
  <si>
    <t>Medida</t>
  </si>
  <si>
    <t>Amostra</t>
  </si>
  <si>
    <t>C</t>
  </si>
  <si>
    <t>u</t>
  </si>
  <si>
    <t>Alvo AuV — razão Calculadora / Planilha convencional, por amostra</t>
  </si>
  <si>
    <t>Alvo RhV — razão Calculadora / Planilha convencional, por amostra</t>
  </si>
  <si>
    <t>Calculadora — alvo AgV (mg/kg)</t>
  </si>
  <si>
    <t>ab</t>
  </si>
  <si>
    <t>Padrão (1573a)</t>
  </si>
  <si>
    <t>ac</t>
  </si>
  <si>
    <t>R2</t>
  </si>
  <si>
    <t>ad</t>
  </si>
  <si>
    <t>R3</t>
  </si>
  <si>
    <t>ae</t>
  </si>
  <si>
    <t>R4</t>
  </si>
  <si>
    <t>af</t>
  </si>
  <si>
    <t>R5</t>
  </si>
  <si>
    <t>ag</t>
  </si>
  <si>
    <t>R6</t>
  </si>
  <si>
    <t>ah</t>
  </si>
  <si>
    <t>R7</t>
  </si>
  <si>
    <t>ai</t>
  </si>
  <si>
    <t>R8</t>
  </si>
  <si>
    <t>aj</t>
  </si>
  <si>
    <t>R9</t>
  </si>
  <si>
    <t>ak</t>
  </si>
  <si>
    <t>R10</t>
  </si>
  <si>
    <t>al</t>
  </si>
  <si>
    <t>R11</t>
  </si>
  <si>
    <t>Planilha convencional (corrigida) — alvo AgV (mg/kg)</t>
  </si>
  <si>
    <t>Calculadora — alvo AuV (mg/kg)</t>
  </si>
  <si>
    <t>Planilha convencional (corrigida) — alvo AuV (mg/kg)</t>
  </si>
  <si>
    <t>Calculadora — alvo RhV (mg/kg)</t>
  </si>
  <si>
    <t>Planilha convencional (corrigida) — alvo RhV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</si>
</sst>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i/>
      <sz val="9"/>
      <color rgb="FF555555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5" x14ac:dyDescent="0.25"/>
  <cols>
    <col min="1" max="1" width="16" customWidth="1"/>
    <col min="2" max="2" width="130" customWidth="1"/>
  </cols>
  <sheetData>
    <row r="1" spans="1:2" ht="16.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ht="28.5" x14ac:dyDescent="0.25">
      <c r="A4" s="2" t="s">
        <v>3</v>
      </c>
      <c r="B4" s="3" t="s">
        <v>4</v>
      </c>
    </row>
    <row r="5" spans="1:2" ht="28.5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4"/>
      <c r="B7" s="4"/>
    </row>
    <row r="8" spans="1:2" ht="45" x14ac:dyDescent="0.25">
      <c r="A8" s="2" t="s">
        <v>9</v>
      </c>
      <c r="B8" s="4"/>
    </row>
    <row r="9" spans="1:2" x14ac:dyDescent="0.25">
      <c r="A9" s="2" t="s">
        <v>10</v>
      </c>
      <c r="B9" s="5" t="s">
        <v>11</v>
      </c>
    </row>
    <row r="10" spans="1:2" x14ac:dyDescent="0.25">
      <c r="A10" s="4"/>
      <c r="B10" s="3" t="s">
        <v>12</v>
      </c>
    </row>
    <row r="11" spans="1:2" x14ac:dyDescent="0.25">
      <c r="A11" s="4"/>
      <c r="B11" s="3" t="s">
        <v>13</v>
      </c>
    </row>
    <row r="12" spans="1:2" x14ac:dyDescent="0.25">
      <c r="A12" s="4"/>
      <c r="B12" s="3" t="s">
        <v>14</v>
      </c>
    </row>
    <row r="13" spans="1:2" x14ac:dyDescent="0.25">
      <c r="A13" s="4"/>
      <c r="B13" s="3" t="s">
        <v>15</v>
      </c>
    </row>
    <row r="14" spans="1:2" x14ac:dyDescent="0.25">
      <c r="A14" s="4"/>
      <c r="B14" s="3" t="s">
        <v>16</v>
      </c>
    </row>
    <row r="15" spans="1:2" x14ac:dyDescent="0.25">
      <c r="A15" s="4"/>
      <c r="B15" s="3" t="s">
        <v>17</v>
      </c>
    </row>
    <row r="16" spans="1:2" x14ac:dyDescent="0.25">
      <c r="A16" s="4"/>
      <c r="B16" s="3" t="s">
        <v>18</v>
      </c>
    </row>
    <row r="17" spans="1:2" x14ac:dyDescent="0.25">
      <c r="A17" s="2" t="s">
        <v>19</v>
      </c>
      <c r="B17" s="5" t="s">
        <v>20</v>
      </c>
    </row>
    <row r="18" spans="1:2" x14ac:dyDescent="0.25">
      <c r="A18" s="4"/>
      <c r="B18" s="3" t="s">
        <v>21</v>
      </c>
    </row>
    <row r="19" spans="1:2" x14ac:dyDescent="0.25">
      <c r="A19" s="4"/>
      <c r="B19" s="3" t="s">
        <v>22</v>
      </c>
    </row>
    <row r="20" spans="1:2" x14ac:dyDescent="0.25">
      <c r="A20" s="4"/>
      <c r="B20" s="3" t="s">
        <v>23</v>
      </c>
    </row>
    <row r="21" spans="1:2" x14ac:dyDescent="0.25">
      <c r="A21" s="4"/>
      <c r="B21" s="3" t="s">
        <v>24</v>
      </c>
    </row>
    <row r="22" spans="1:2" x14ac:dyDescent="0.25">
      <c r="A22" s="4"/>
      <c r="B22" s="3" t="s">
        <v>25</v>
      </c>
    </row>
    <row r="23" spans="1:2" x14ac:dyDescent="0.25">
      <c r="A23" s="4"/>
      <c r="B23" s="3" t="s">
        <v>26</v>
      </c>
    </row>
    <row r="24" spans="1:2" x14ac:dyDescent="0.25">
      <c r="A24" s="4"/>
      <c r="B24" s="3" t="s">
        <v>27</v>
      </c>
    </row>
    <row r="25" spans="1:2" x14ac:dyDescent="0.25">
      <c r="A25" s="4"/>
      <c r="B25" s="3" t="s">
        <v>28</v>
      </c>
    </row>
    <row r="26" spans="1:2" x14ac:dyDescent="0.25">
      <c r="A26" s="4"/>
      <c r="B26" s="3" t="s">
        <v>29</v>
      </c>
    </row>
    <row r="27" spans="1:2" x14ac:dyDescent="0.25">
      <c r="A27" s="4"/>
      <c r="B27" s="3" t="s">
        <v>30</v>
      </c>
    </row>
    <row r="28" spans="1:2" x14ac:dyDescent="0.25">
      <c r="A28" s="2" t="s">
        <v>31</v>
      </c>
      <c r="B28" s="5" t="s">
        <v>32</v>
      </c>
    </row>
    <row r="29" spans="1:2" x14ac:dyDescent="0.25">
      <c r="A29" s="4"/>
      <c r="B29" s="3" t="s">
        <v>33</v>
      </c>
    </row>
    <row r="30" spans="1:2" x14ac:dyDescent="0.25">
      <c r="A30" s="4"/>
      <c r="B30" s="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cols>
    <col min="1" max="1" width="11" customWidth="1"/>
    <col min="2" max="2" width="5" customWidth="1"/>
    <col min="3" max="6" width="13" customWidth="1"/>
    <col min="7" max="7" width="10" customWidth="1"/>
  </cols>
  <sheetData>
    <row r="1" spans="1:7" ht="32.1" customHeight="1" x14ac:dyDescent="0.25">
      <c r="A1" s="19" t="s">
        <v>35</v>
      </c>
      <c r="B1" s="18"/>
      <c r="C1" s="18"/>
      <c r="D1" s="18"/>
      <c r="E1" s="18"/>
      <c r="F1" s="18"/>
      <c r="G1" s="18"/>
    </row>
    <row r="3" spans="1:7" ht="30" customHeigh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</row>
    <row r="4" spans="1:7" x14ac:dyDescent="0.25">
      <c r="A4" s="7" t="s">
        <v>43</v>
      </c>
      <c r="B4" s="7">
        <f>COUNT('Razões AgV'!C7:C16)</f>
        <v>10</v>
      </c>
      <c r="C4" s="8">
        <f>IF(COUNT('Razões AgV'!C7:C16)&gt;0,AVERAGE('Razões AgV'!C7:C16),"n.d.")</f>
        <v>1</v>
      </c>
      <c r="D4" s="8">
        <f>IF(COUNT('Razões AgV'!C7:C16)&gt;1,STDEV('Razões AgV'!C7:C16),"n.d.")</f>
        <v>0</v>
      </c>
      <c r="E4" s="8">
        <f>IF(COUNT('Razões AgV'!D7:D16)&gt;0,AVERAGE('Razões AgV'!D7:D16),"n.d.")</f>
        <v>1</v>
      </c>
      <c r="F4" s="8">
        <f>IF(COUNT('Razões AgV'!D7:D16)&gt;1,STDEV('Razões AgV'!D7:D16),"n.d.")</f>
        <v>0</v>
      </c>
      <c r="G4" s="8">
        <f>'Razões AgV'!C5</f>
        <v>1</v>
      </c>
    </row>
    <row r="5" spans="1:7" x14ac:dyDescent="0.25">
      <c r="A5" s="7" t="s">
        <v>44</v>
      </c>
      <c r="B5" s="7">
        <f>COUNT('Razões AgV'!E7:E16)</f>
        <v>10</v>
      </c>
      <c r="C5" s="8">
        <f>IF(COUNT('Razões AgV'!E7:E16)&gt;0,AVERAGE('Razões AgV'!E7:E16),"n.d.")</f>
        <v>1</v>
      </c>
      <c r="D5" s="8">
        <f>IF(COUNT('Razões AgV'!E7:E16)&gt;1,STDEV('Razões AgV'!E7:E16),"n.d.")</f>
        <v>0</v>
      </c>
      <c r="E5" s="8">
        <f>IF(COUNT('Razões AgV'!F7:F16)&gt;0,AVERAGE('Razões AgV'!F7:F16),"n.d.")</f>
        <v>1</v>
      </c>
      <c r="F5" s="8">
        <f>IF(COUNT('Razões AgV'!F7:F16)&gt;1,STDEV('Razões AgV'!F7:F16),"n.d.")</f>
        <v>0</v>
      </c>
      <c r="G5" s="8">
        <f>'Razões AgV'!E5</f>
        <v>1</v>
      </c>
    </row>
    <row r="6" spans="1:7" x14ac:dyDescent="0.25">
      <c r="A6" s="7" t="s">
        <v>45</v>
      </c>
      <c r="B6" s="7">
        <f>COUNT('Razões AgV'!G7:G16)</f>
        <v>10</v>
      </c>
      <c r="C6" s="8">
        <f>IF(COUNT('Razões AgV'!G7:G16)&gt;0,AVERAGE('Razões AgV'!G7:G16),"n.d.")</f>
        <v>1</v>
      </c>
      <c r="D6" s="8">
        <f>IF(COUNT('Razões AgV'!G7:G16)&gt;1,STDEV('Razões AgV'!G7:G16),"n.d.")</f>
        <v>0</v>
      </c>
      <c r="E6" s="8">
        <f>IF(COUNT('Razões AgV'!H7:H16)&gt;0,AVERAGE('Razões AgV'!H7:H16),"n.d.")</f>
        <v>1</v>
      </c>
      <c r="F6" s="8">
        <f>IF(COUNT('Razões AgV'!H7:H16)&gt;1,STDEV('Razões AgV'!H7:H16),"n.d.")</f>
        <v>0</v>
      </c>
      <c r="G6" s="8">
        <f>'Razões AgV'!G5</f>
        <v>1</v>
      </c>
    </row>
    <row r="7" spans="1:7" x14ac:dyDescent="0.25">
      <c r="A7" s="7" t="s">
        <v>46</v>
      </c>
      <c r="B7" s="7">
        <f>COUNT('Razões AgV'!I7:I16)</f>
        <v>10</v>
      </c>
      <c r="C7" s="8">
        <f>IF(COUNT('Razões AgV'!I7:I16)&gt;0,AVERAGE('Razões AgV'!I7:I16),"n.d.")</f>
        <v>1</v>
      </c>
      <c r="D7" s="8">
        <f>IF(COUNT('Razões AgV'!I7:I16)&gt;1,STDEV('Razões AgV'!I7:I16),"n.d.")</f>
        <v>0</v>
      </c>
      <c r="E7" s="8">
        <f>IF(COUNT('Razões AgV'!J7:J16)&gt;0,AVERAGE('Razões AgV'!J7:J16),"n.d.")</f>
        <v>1</v>
      </c>
      <c r="F7" s="8">
        <f>IF(COUNT('Razões AgV'!J7:J16)&gt;1,STDEV('Razões AgV'!J7:J16),"n.d.")</f>
        <v>0</v>
      </c>
      <c r="G7" s="8">
        <f>'Razões AgV'!I5</f>
        <v>1</v>
      </c>
    </row>
    <row r="8" spans="1:7" x14ac:dyDescent="0.25">
      <c r="A8" s="7" t="s">
        <v>47</v>
      </c>
      <c r="B8" s="7">
        <f>COUNT('Razões AgV'!K7:K16)</f>
        <v>10</v>
      </c>
      <c r="C8" s="8">
        <f>IF(COUNT('Razões AgV'!K7:K16)&gt;0,AVERAGE('Razões AgV'!K7:K16),"n.d.")</f>
        <v>1</v>
      </c>
      <c r="D8" s="8">
        <f>IF(COUNT('Razões AgV'!K7:K16)&gt;1,STDEV('Razões AgV'!K7:K16),"n.d.")</f>
        <v>0</v>
      </c>
      <c r="E8" s="8">
        <f>IF(COUNT('Razões AgV'!L7:L16)&gt;0,AVERAGE('Razões AgV'!L7:L16),"n.d.")</f>
        <v>1</v>
      </c>
      <c r="F8" s="8">
        <f>IF(COUNT('Razões AgV'!L7:L16)&gt;1,STDEV('Razões AgV'!L7:L16),"n.d.")</f>
        <v>7.4014868308343765E-17</v>
      </c>
      <c r="G8" s="8">
        <f>'Razões AgV'!K5</f>
        <v>1</v>
      </c>
    </row>
    <row r="9" spans="1:7" x14ac:dyDescent="0.25">
      <c r="A9" s="7" t="s">
        <v>48</v>
      </c>
      <c r="B9" s="7">
        <f>COUNT('Razões AgV'!M7:M16)</f>
        <v>10</v>
      </c>
      <c r="C9" s="8">
        <f>IF(COUNT('Razões AgV'!M7:M16)&gt;0,AVERAGE('Razões AgV'!M7:M16),"n.d.")</f>
        <v>1</v>
      </c>
      <c r="D9" s="8">
        <f>IF(COUNT('Razões AgV'!M7:M16)&gt;1,STDEV('Razões AgV'!M7:M16),"n.d.")</f>
        <v>0</v>
      </c>
      <c r="E9" s="8">
        <f>IF(COUNT('Razões AgV'!N7:N16)&gt;0,AVERAGE('Razões AgV'!N7:N16),"n.d.")</f>
        <v>1</v>
      </c>
      <c r="F9" s="8">
        <f>IF(COUNT('Razões AgV'!N7:N16)&gt;1,STDEV('Razões AgV'!N7:N16),"n.d.")</f>
        <v>0</v>
      </c>
      <c r="G9" s="8">
        <f>'Razões AgV'!M5</f>
        <v>1</v>
      </c>
    </row>
    <row r="10" spans="1:7" x14ac:dyDescent="0.25">
      <c r="A10" s="7" t="s">
        <v>49</v>
      </c>
      <c r="B10" s="7">
        <f>COUNT('Razões AgV'!O7:O16)</f>
        <v>10</v>
      </c>
      <c r="C10" s="8">
        <f>IF(COUNT('Razões AgV'!O7:O16)&gt;0,AVERAGE('Razões AgV'!O7:O16),"n.d.")</f>
        <v>1</v>
      </c>
      <c r="D10" s="8">
        <f>IF(COUNT('Razões AgV'!O7:O16)&gt;1,STDEV('Razões AgV'!O7:O16),"n.d.")</f>
        <v>0</v>
      </c>
      <c r="E10" s="8">
        <f>IF(COUNT('Razões AgV'!P7:P16)&gt;0,AVERAGE('Razões AgV'!P7:P16),"n.d.")</f>
        <v>1</v>
      </c>
      <c r="F10" s="8">
        <f>IF(COUNT('Razões AgV'!P7:P16)&gt;1,STDEV('Razões AgV'!P7:P16),"n.d.")</f>
        <v>0</v>
      </c>
      <c r="G10" s="8">
        <f>'Razões AgV'!O5</f>
        <v>1</v>
      </c>
    </row>
    <row r="11" spans="1:7" x14ac:dyDescent="0.25">
      <c r="A11" s="7" t="s">
        <v>50</v>
      </c>
      <c r="B11" s="7">
        <f>COUNT('Razões AgV'!Q7:Q16)</f>
        <v>10</v>
      </c>
      <c r="C11" s="8">
        <f>IF(COUNT('Razões AgV'!Q7:Q16)&gt;0,AVERAGE('Razões AgV'!Q7:Q16),"n.d.")</f>
        <v>1</v>
      </c>
      <c r="D11" s="8">
        <f>IF(COUNT('Razões AgV'!Q7:Q16)&gt;1,STDEV('Razões AgV'!Q7:Q16),"n.d.")</f>
        <v>0</v>
      </c>
      <c r="E11" s="8">
        <f>IF(COUNT('Razões AgV'!R7:R16)&gt;0,AVERAGE('Razões AgV'!R7:R16),"n.d.")</f>
        <v>1</v>
      </c>
      <c r="F11" s="8">
        <f>IF(COUNT('Razões AgV'!R7:R16)&gt;1,STDEV('Razões AgV'!R7:R16),"n.d.")</f>
        <v>7.4014868308343765E-17</v>
      </c>
      <c r="G11" s="8">
        <f>'Razões AgV'!Q5</f>
        <v>1</v>
      </c>
    </row>
    <row r="12" spans="1:7" x14ac:dyDescent="0.25">
      <c r="A12" s="7" t="s">
        <v>51</v>
      </c>
      <c r="B12" s="7">
        <f>COUNT('Razões AgV'!S7:S16)</f>
        <v>10</v>
      </c>
      <c r="C12" s="8">
        <f>IF(COUNT('Razões AgV'!S7:S16)&gt;0,AVERAGE('Razões AgV'!S7:S16),"n.d.")</f>
        <v>1</v>
      </c>
      <c r="D12" s="8">
        <f>IF(COUNT('Razões AgV'!S7:S16)&gt;1,STDEV('Razões AgV'!S7:S16),"n.d.")</f>
        <v>0</v>
      </c>
      <c r="E12" s="8">
        <f>IF(COUNT('Razões AgV'!T7:T16)&gt;0,AVERAGE('Razões AgV'!T7:T16),"n.d.")</f>
        <v>1</v>
      </c>
      <c r="F12" s="8">
        <f>IF(COUNT('Razões AgV'!T7:T16)&gt;1,STDEV('Razões AgV'!T7:T16),"n.d.")</f>
        <v>0</v>
      </c>
      <c r="G12" s="8">
        <f>'Razões AgV'!S5</f>
        <v>1</v>
      </c>
    </row>
    <row r="13" spans="1:7" x14ac:dyDescent="0.25">
      <c r="A13" s="7" t="s">
        <v>52</v>
      </c>
      <c r="B13" s="7">
        <f>COUNT('Razões AgV'!U7:U16)</f>
        <v>10</v>
      </c>
      <c r="C13" s="8">
        <f>IF(COUNT('Razões AgV'!U7:U16)&gt;0,AVERAGE('Razões AgV'!U7:U16),"n.d.")</f>
        <v>1</v>
      </c>
      <c r="D13" s="8">
        <f>IF(COUNT('Razões AgV'!U7:U16)&gt;1,STDEV('Razões AgV'!U7:U16),"n.d.")</f>
        <v>0</v>
      </c>
      <c r="E13" s="8">
        <f>IF(COUNT('Razões AgV'!V7:V16)&gt;0,AVERAGE('Razões AgV'!V7:V16),"n.d.")</f>
        <v>1</v>
      </c>
      <c r="F13" s="8">
        <f>IF(COUNT('Razões AgV'!V7:V16)&gt;1,STDEV('Razões AgV'!V7:V16),"n.d.")</f>
        <v>0</v>
      </c>
      <c r="G13" s="8">
        <f>'Razões AgV'!U5</f>
        <v>1</v>
      </c>
    </row>
    <row r="14" spans="1:7" x14ac:dyDescent="0.25">
      <c r="A14" s="7" t="s">
        <v>53</v>
      </c>
      <c r="B14" s="7">
        <f>COUNT('Razões AgV'!W7:W16)</f>
        <v>10</v>
      </c>
      <c r="C14" s="8">
        <f>IF(COUNT('Razões AgV'!W7:W16)&gt;0,AVERAGE('Razões AgV'!W7:W16),"n.d.")</f>
        <v>1</v>
      </c>
      <c r="D14" s="8">
        <f>IF(COUNT('Razões AgV'!W7:W16)&gt;1,STDEV('Razões AgV'!W7:W16),"n.d.")</f>
        <v>0</v>
      </c>
      <c r="E14" s="8">
        <f>IF(COUNT('Razões AgV'!X7:X16)&gt;0,AVERAGE('Razões AgV'!X7:X16),"n.d.")</f>
        <v>1</v>
      </c>
      <c r="F14" s="8">
        <f>IF(COUNT('Razões AgV'!X7:X16)&gt;1,STDEV('Razões AgV'!X7:X16),"n.d.")</f>
        <v>7.4014868308343765E-17</v>
      </c>
      <c r="G14" s="8">
        <f>'Razões AgV'!W5</f>
        <v>1</v>
      </c>
    </row>
    <row r="15" spans="1:7" x14ac:dyDescent="0.25">
      <c r="A15" s="9" t="s">
        <v>54</v>
      </c>
      <c r="B15" s="9">
        <f>COUNT('Razões AgV'!Y7:Y16)</f>
        <v>9</v>
      </c>
      <c r="C15" s="10">
        <f>IF(COUNT('Razões AgV'!Y7:Y16)&gt;0,AVERAGE('Razões AgV'!Y7:Y16),"n.d.")</f>
        <v>1</v>
      </c>
      <c r="D15" s="10">
        <f>IF(COUNT('Razões AgV'!Y7:Y16)&gt;1,STDEV('Razões AgV'!Y7:Y16),"n.d.")</f>
        <v>0</v>
      </c>
      <c r="E15" s="10">
        <f>IF(COUNT('Razões AgV'!Z7:Z16)&gt;0,AVERAGE('Razões AgV'!Z7:Z16),"n.d.")</f>
        <v>1</v>
      </c>
      <c r="F15" s="10">
        <f>IF(COUNT('Razões AgV'!Z7:Z16)&gt;1,STDEV('Razões AgV'!Z7:Z16),"n.d.")</f>
        <v>0</v>
      </c>
      <c r="G15" s="10">
        <f>'Razões AgV'!Y5</f>
        <v>1</v>
      </c>
    </row>
    <row r="16" spans="1:7" ht="36" customHeight="1" x14ac:dyDescent="0.25">
      <c r="A16" s="17" t="s">
        <v>55</v>
      </c>
      <c r="B16" s="18"/>
      <c r="C16" s="18"/>
      <c r="D16" s="18"/>
      <c r="E16" s="18"/>
      <c r="F16" s="18"/>
      <c r="G16" s="18"/>
    </row>
  </sheetData>
  <mergeCells count="2">
    <mergeCell ref="A16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5" x14ac:dyDescent="0.25"/>
  <cols>
    <col min="1" max="1" width="11" customWidth="1"/>
    <col min="2" max="2" width="5" customWidth="1"/>
    <col min="3" max="6" width="13" customWidth="1"/>
    <col min="7" max="7" width="10" customWidth="1"/>
  </cols>
  <sheetData>
    <row r="1" spans="1:7" ht="32.1" customHeight="1" x14ac:dyDescent="0.25">
      <c r="A1" s="19" t="s">
        <v>56</v>
      </c>
      <c r="B1" s="18"/>
      <c r="C1" s="18"/>
      <c r="D1" s="18"/>
      <c r="E1" s="18"/>
      <c r="F1" s="18"/>
      <c r="G1" s="18"/>
    </row>
    <row r="3" spans="1:7" ht="30" customHeigh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</row>
    <row r="4" spans="1:7" x14ac:dyDescent="0.25">
      <c r="A4" s="7" t="s">
        <v>44</v>
      </c>
      <c r="B4" s="7">
        <f>COUNT('Razões AuV'!C7:C16)</f>
        <v>10</v>
      </c>
      <c r="C4" s="8">
        <f>IF(COUNT('Razões AuV'!C7:C16)&gt;0,AVERAGE('Razões AuV'!C7:C16),"n.d.")</f>
        <v>1</v>
      </c>
      <c r="D4" s="8">
        <f>IF(COUNT('Razões AuV'!C7:C16)&gt;1,STDEV('Razões AuV'!C7:C16),"n.d.")</f>
        <v>0</v>
      </c>
      <c r="E4" s="8">
        <f>IF(COUNT('Razões AuV'!D7:D16)&gt;0,AVERAGE('Razões AuV'!D7:D16),"n.d.")</f>
        <v>1</v>
      </c>
      <c r="F4" s="8">
        <f>IF(COUNT('Razões AuV'!D7:D16)&gt;1,STDEV('Razões AuV'!D7:D16),"n.d.")</f>
        <v>0</v>
      </c>
      <c r="G4" s="8">
        <f>'Razões AuV'!C5</f>
        <v>1</v>
      </c>
    </row>
    <row r="5" spans="1:7" x14ac:dyDescent="0.25">
      <c r="A5" s="7" t="s">
        <v>45</v>
      </c>
      <c r="B5" s="7">
        <f>COUNT('Razões AuV'!E7:E16)</f>
        <v>10</v>
      </c>
      <c r="C5" s="8">
        <f>IF(COUNT('Razões AuV'!E7:E16)&gt;0,AVERAGE('Razões AuV'!E7:E16),"n.d.")</f>
        <v>1</v>
      </c>
      <c r="D5" s="8">
        <f>IF(COUNT('Razões AuV'!E7:E16)&gt;1,STDEV('Razões AuV'!E7:E16),"n.d.")</f>
        <v>0</v>
      </c>
      <c r="E5" s="8">
        <f>IF(COUNT('Razões AuV'!F7:F16)&gt;0,AVERAGE('Razões AuV'!F7:F16),"n.d.")</f>
        <v>1</v>
      </c>
      <c r="F5" s="8">
        <f>IF(COUNT('Razões AuV'!F7:F16)&gt;1,STDEV('Razões AuV'!F7:F16),"n.d.")</f>
        <v>0</v>
      </c>
      <c r="G5" s="8">
        <f>'Razões AuV'!E5</f>
        <v>1</v>
      </c>
    </row>
    <row r="6" spans="1:7" x14ac:dyDescent="0.25">
      <c r="A6" s="7" t="s">
        <v>46</v>
      </c>
      <c r="B6" s="7">
        <f>COUNT('Razões AuV'!G7:G16)</f>
        <v>10</v>
      </c>
      <c r="C6" s="8">
        <f>IF(COUNT('Razões AuV'!G7:G16)&gt;0,AVERAGE('Razões AuV'!G7:G16),"n.d.")</f>
        <v>1</v>
      </c>
      <c r="D6" s="8">
        <f>IF(COUNT('Razões AuV'!G7:G16)&gt;1,STDEV('Razões AuV'!G7:G16),"n.d.")</f>
        <v>0</v>
      </c>
      <c r="E6" s="8">
        <f>IF(COUNT('Razões AuV'!H7:H16)&gt;0,AVERAGE('Razões AuV'!H7:H16),"n.d.")</f>
        <v>1</v>
      </c>
      <c r="F6" s="8">
        <f>IF(COUNT('Razões AuV'!H7:H16)&gt;1,STDEV('Razões AuV'!H7:H16),"n.d.")</f>
        <v>0</v>
      </c>
      <c r="G6" s="8">
        <f>'Razões AuV'!G5</f>
        <v>1</v>
      </c>
    </row>
    <row r="7" spans="1:7" x14ac:dyDescent="0.25">
      <c r="A7" s="7" t="s">
        <v>47</v>
      </c>
      <c r="B7" s="7">
        <f>COUNT('Razões AuV'!I7:I16)</f>
        <v>10</v>
      </c>
      <c r="C7" s="8">
        <f>IF(COUNT('Razões AuV'!I7:I16)&gt;0,AVERAGE('Razões AuV'!I7:I16),"n.d.")</f>
        <v>1</v>
      </c>
      <c r="D7" s="8">
        <f>IF(COUNT('Razões AuV'!I7:I16)&gt;1,STDEV('Razões AuV'!I7:I16),"n.d.")</f>
        <v>0</v>
      </c>
      <c r="E7" s="8">
        <f>IF(COUNT('Razões AuV'!J7:J16)&gt;0,AVERAGE('Razões AuV'!J7:J16),"n.d.")</f>
        <v>1</v>
      </c>
      <c r="F7" s="8">
        <f>IF(COUNT('Razões AuV'!J7:J16)&gt;1,STDEV('Razões AuV'!J7:J16),"n.d.")</f>
        <v>8.2751138441575766E-17</v>
      </c>
      <c r="G7" s="8">
        <f>'Razões AuV'!I5</f>
        <v>1</v>
      </c>
    </row>
    <row r="8" spans="1:7" x14ac:dyDescent="0.25">
      <c r="A8" s="7" t="s">
        <v>48</v>
      </c>
      <c r="B8" s="7">
        <f>COUNT('Razões AuV'!K7:K16)</f>
        <v>10</v>
      </c>
      <c r="C8" s="8">
        <f>IF(COUNT('Razões AuV'!K7:K16)&gt;0,AVERAGE('Razões AuV'!K7:K16),"n.d.")</f>
        <v>1</v>
      </c>
      <c r="D8" s="8">
        <f>IF(COUNT('Razões AuV'!K7:K16)&gt;1,STDEV('Razões AuV'!K7:K16),"n.d.")</f>
        <v>0</v>
      </c>
      <c r="E8" s="8">
        <f>IF(COUNT('Razões AuV'!L7:L16)&gt;0,AVERAGE('Razões AuV'!L7:L16),"n.d.")</f>
        <v>1</v>
      </c>
      <c r="F8" s="8">
        <f>IF(COUNT('Razões AuV'!L7:L16)&gt;1,STDEV('Razões AuV'!L7:L16),"n.d.")</f>
        <v>0</v>
      </c>
      <c r="G8" s="8">
        <f>'Razões AuV'!K5</f>
        <v>1</v>
      </c>
    </row>
    <row r="9" spans="1:7" x14ac:dyDescent="0.25">
      <c r="A9" s="7" t="s">
        <v>49</v>
      </c>
      <c r="B9" s="7">
        <f>COUNT('Razões AuV'!M7:M16)</f>
        <v>10</v>
      </c>
      <c r="C9" s="8">
        <f>IF(COUNT('Razões AuV'!M7:M16)&gt;0,AVERAGE('Razões AuV'!M7:M16),"n.d.")</f>
        <v>1</v>
      </c>
      <c r="D9" s="8">
        <f>IF(COUNT('Razões AuV'!M7:M16)&gt;1,STDEV('Razões AuV'!M7:M16),"n.d.")</f>
        <v>0</v>
      </c>
      <c r="E9" s="8">
        <f>IF(COUNT('Razões AuV'!N7:N16)&gt;0,AVERAGE('Razões AuV'!N7:N16),"n.d.")</f>
        <v>1</v>
      </c>
      <c r="F9" s="8">
        <f>IF(COUNT('Razões AuV'!N7:N16)&gt;1,STDEV('Razões AuV'!N7:N16),"n.d.")</f>
        <v>0</v>
      </c>
      <c r="G9" s="8">
        <f>'Razões AuV'!M5</f>
        <v>1</v>
      </c>
    </row>
    <row r="10" spans="1:7" x14ac:dyDescent="0.25">
      <c r="A10" s="7" t="s">
        <v>50</v>
      </c>
      <c r="B10" s="7">
        <f>COUNT('Razões AuV'!O7:O16)</f>
        <v>10</v>
      </c>
      <c r="C10" s="8">
        <f>IF(COUNT('Razões AuV'!O7:O16)&gt;0,AVERAGE('Razões AuV'!O7:O16),"n.d.")</f>
        <v>1</v>
      </c>
      <c r="D10" s="8">
        <f>IF(COUNT('Razões AuV'!O7:O16)&gt;1,STDEV('Razões AuV'!O7:O16),"n.d.")</f>
        <v>0</v>
      </c>
      <c r="E10" s="8">
        <f>IF(COUNT('Razões AuV'!P7:P16)&gt;0,AVERAGE('Razões AuV'!P7:P16),"n.d.")</f>
        <v>1</v>
      </c>
      <c r="F10" s="8">
        <f>IF(COUNT('Razões AuV'!P7:P16)&gt;1,STDEV('Razões AuV'!P7:P16),"n.d.")</f>
        <v>0</v>
      </c>
      <c r="G10" s="8">
        <f>'Razões AuV'!O5</f>
        <v>1</v>
      </c>
    </row>
    <row r="11" spans="1:7" x14ac:dyDescent="0.25">
      <c r="A11" s="7" t="s">
        <v>51</v>
      </c>
      <c r="B11" s="7">
        <f>COUNT('Razões AuV'!Q7:Q16)</f>
        <v>10</v>
      </c>
      <c r="C11" s="8">
        <f>IF(COUNT('Razões AuV'!Q7:Q16)&gt;0,AVERAGE('Razões AuV'!Q7:Q16),"n.d.")</f>
        <v>1</v>
      </c>
      <c r="D11" s="8">
        <f>IF(COUNT('Razões AuV'!Q7:Q16)&gt;1,STDEV('Razões AuV'!Q7:Q16),"n.d.")</f>
        <v>0</v>
      </c>
      <c r="E11" s="8">
        <f>IF(COUNT('Razões AuV'!R7:R16)&gt;0,AVERAGE('Razões AuV'!R7:R16),"n.d.")</f>
        <v>1</v>
      </c>
      <c r="F11" s="8">
        <f>IF(COUNT('Razões AuV'!R7:R16)&gt;1,STDEV('Razões AuV'!R7:R16),"n.d.")</f>
        <v>0</v>
      </c>
      <c r="G11" s="8">
        <f>'Razões AuV'!Q5</f>
        <v>1</v>
      </c>
    </row>
    <row r="12" spans="1:7" x14ac:dyDescent="0.25">
      <c r="A12" s="7" t="s">
        <v>52</v>
      </c>
      <c r="B12" s="7">
        <f>COUNT('Razões AuV'!S7:S16)</f>
        <v>10</v>
      </c>
      <c r="C12" s="8">
        <f>IF(COUNT('Razões AuV'!S7:S16)&gt;0,AVERAGE('Razões AuV'!S7:S16),"n.d.")</f>
        <v>1</v>
      </c>
      <c r="D12" s="8">
        <f>IF(COUNT('Razões AuV'!S7:S16)&gt;1,STDEV('Razões AuV'!S7:S16),"n.d.")</f>
        <v>0</v>
      </c>
      <c r="E12" s="8">
        <f>IF(COUNT('Razões AuV'!T7:T16)&gt;0,AVERAGE('Razões AuV'!T7:T16),"n.d.")</f>
        <v>1</v>
      </c>
      <c r="F12" s="8">
        <f>IF(COUNT('Razões AuV'!T7:T16)&gt;1,STDEV('Razões AuV'!T7:T16),"n.d.")</f>
        <v>1.4802973661668753E-16</v>
      </c>
      <c r="G12" s="8">
        <f>'Razões AuV'!S5</f>
        <v>1</v>
      </c>
    </row>
    <row r="13" spans="1:7" x14ac:dyDescent="0.25">
      <c r="A13" s="7" t="s">
        <v>53</v>
      </c>
      <c r="B13" s="7">
        <f>COUNT('Razões AuV'!U7:U16)</f>
        <v>10</v>
      </c>
      <c r="C13" s="8">
        <f>IF(COUNT('Razões AuV'!U7:U16)&gt;0,AVERAGE('Razões AuV'!U7:U16),"n.d.")</f>
        <v>1</v>
      </c>
      <c r="D13" s="8">
        <f>IF(COUNT('Razões AuV'!U7:U16)&gt;1,STDEV('Razões AuV'!U7:U16),"n.d.")</f>
        <v>0</v>
      </c>
      <c r="E13" s="8">
        <f>IF(COUNT('Razões AuV'!V7:V16)&gt;0,AVERAGE('Razões AuV'!V7:V16),"n.d.")</f>
        <v>1</v>
      </c>
      <c r="F13" s="8">
        <f>IF(COUNT('Razões AuV'!V7:V16)&gt;1,STDEV('Razões AuV'!V7:V16),"n.d.")</f>
        <v>0</v>
      </c>
      <c r="G13" s="8">
        <f>'Razões AuV'!U5</f>
        <v>1</v>
      </c>
    </row>
    <row r="14" spans="1:7" x14ac:dyDescent="0.25">
      <c r="A14" s="9" t="s">
        <v>57</v>
      </c>
      <c r="B14" s="9">
        <f>COUNT('Razões AuV'!W7:W16)</f>
        <v>10</v>
      </c>
      <c r="C14" s="10">
        <f>IF(COUNT('Razões AuV'!W7:W16)&gt;0,AVERAGE('Razões AuV'!W7:W16),"n.d.")</f>
        <v>1</v>
      </c>
      <c r="D14" s="10">
        <f>IF(COUNT('Razões AuV'!W7:W16)&gt;1,STDEV('Razões AuV'!W7:W16),"n.d.")</f>
        <v>0</v>
      </c>
      <c r="E14" s="10">
        <f>IF(COUNT('Razões AuV'!X7:X16)&gt;0,AVERAGE('Razões AuV'!X7:X16),"n.d.")</f>
        <v>1</v>
      </c>
      <c r="F14" s="10">
        <f>IF(COUNT('Razões AuV'!X7:X16)&gt;1,STDEV('Razões AuV'!X7:X16),"n.d.")</f>
        <v>0</v>
      </c>
      <c r="G14" s="10">
        <f>'Razões AuV'!W5</f>
        <v>1</v>
      </c>
    </row>
    <row r="15" spans="1:7" ht="36" customHeight="1" x14ac:dyDescent="0.25">
      <c r="A15" s="17" t="s">
        <v>55</v>
      </c>
      <c r="B15" s="18"/>
      <c r="C15" s="18"/>
      <c r="D15" s="18"/>
      <c r="E15" s="18"/>
      <c r="F15" s="18"/>
      <c r="G15" s="18"/>
    </row>
  </sheetData>
  <mergeCells count="2"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5" x14ac:dyDescent="0.25"/>
  <cols>
    <col min="1" max="1" width="11" customWidth="1"/>
    <col min="2" max="2" width="5" customWidth="1"/>
    <col min="3" max="6" width="13" customWidth="1"/>
    <col min="7" max="7" width="10" customWidth="1"/>
  </cols>
  <sheetData>
    <row r="1" spans="1:7" ht="32.1" customHeight="1" x14ac:dyDescent="0.25">
      <c r="A1" s="19" t="s">
        <v>58</v>
      </c>
      <c r="B1" s="18"/>
      <c r="C1" s="18"/>
      <c r="D1" s="18"/>
      <c r="E1" s="18"/>
      <c r="F1" s="18"/>
      <c r="G1" s="18"/>
    </row>
    <row r="3" spans="1:7" ht="30" customHeigh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</row>
    <row r="4" spans="1:7" x14ac:dyDescent="0.25">
      <c r="A4" s="7" t="s">
        <v>43</v>
      </c>
      <c r="B4" s="7">
        <f>COUNT('Razões RhV'!C7:C16)</f>
        <v>10</v>
      </c>
      <c r="C4" s="8">
        <f>IF(COUNT('Razões RhV'!C7:C16)&gt;0,AVERAGE('Razões RhV'!C7:C16),"n.d.")</f>
        <v>1</v>
      </c>
      <c r="D4" s="8">
        <f>IF(COUNT('Razões RhV'!C7:C16)&gt;1,STDEV('Razões RhV'!C7:C16),"n.d.")</f>
        <v>0</v>
      </c>
      <c r="E4" s="8">
        <f>IF(COUNT('Razões RhV'!D7:D16)&gt;0,AVERAGE('Razões RhV'!D7:D16),"n.d.")</f>
        <v>1</v>
      </c>
      <c r="F4" s="8">
        <f>IF(COUNT('Razões RhV'!D7:D16)&gt;1,STDEV('Razões RhV'!D7:D16),"n.d.")</f>
        <v>0</v>
      </c>
      <c r="G4" s="8">
        <f>'Razões RhV'!C5</f>
        <v>1</v>
      </c>
    </row>
    <row r="5" spans="1:7" x14ac:dyDescent="0.25">
      <c r="A5" s="7" t="s">
        <v>44</v>
      </c>
      <c r="B5" s="7">
        <f>COUNT('Razões RhV'!E7:E16)</f>
        <v>10</v>
      </c>
      <c r="C5" s="8">
        <f>IF(COUNT('Razões RhV'!E7:E16)&gt;0,AVERAGE('Razões RhV'!E7:E16),"n.d.")</f>
        <v>1</v>
      </c>
      <c r="D5" s="8">
        <f>IF(COUNT('Razões RhV'!E7:E16)&gt;1,STDEV('Razões RhV'!E7:E16),"n.d.")</f>
        <v>0</v>
      </c>
      <c r="E5" s="8">
        <f>IF(COUNT('Razões RhV'!F7:F16)&gt;0,AVERAGE('Razões RhV'!F7:F16),"n.d.")</f>
        <v>1</v>
      </c>
      <c r="F5" s="8">
        <f>IF(COUNT('Razões RhV'!F7:F16)&gt;1,STDEV('Razões RhV'!F7:F16),"n.d.")</f>
        <v>0</v>
      </c>
      <c r="G5" s="8">
        <f>'Razões RhV'!E5</f>
        <v>1</v>
      </c>
    </row>
    <row r="6" spans="1:7" x14ac:dyDescent="0.25">
      <c r="A6" s="7" t="s">
        <v>45</v>
      </c>
      <c r="B6" s="7">
        <f>COUNT('Razões RhV'!G7:G16)</f>
        <v>10</v>
      </c>
      <c r="C6" s="8">
        <f>IF(COUNT('Razões RhV'!G7:G16)&gt;0,AVERAGE('Razões RhV'!G7:G16),"n.d.")</f>
        <v>1</v>
      </c>
      <c r="D6" s="8">
        <f>IF(COUNT('Razões RhV'!G7:G16)&gt;1,STDEV('Razões RhV'!G7:G16),"n.d.")</f>
        <v>0</v>
      </c>
      <c r="E6" s="8">
        <f>IF(COUNT('Razões RhV'!H7:H16)&gt;0,AVERAGE('Razões RhV'!H7:H16),"n.d.")</f>
        <v>1</v>
      </c>
      <c r="F6" s="8">
        <f>IF(COUNT('Razões RhV'!H7:H16)&gt;1,STDEV('Razões RhV'!H7:H16),"n.d.")</f>
        <v>0</v>
      </c>
      <c r="G6" s="8">
        <f>'Razões RhV'!G5</f>
        <v>1</v>
      </c>
    </row>
    <row r="7" spans="1:7" x14ac:dyDescent="0.25">
      <c r="A7" s="7" t="s">
        <v>46</v>
      </c>
      <c r="B7" s="7">
        <f>COUNT('Razões RhV'!I7:I16)</f>
        <v>10</v>
      </c>
      <c r="C7" s="8">
        <f>IF(COUNT('Razões RhV'!I7:I16)&gt;0,AVERAGE('Razões RhV'!I7:I16),"n.d.")</f>
        <v>1</v>
      </c>
      <c r="D7" s="8">
        <f>IF(COUNT('Razões RhV'!I7:I16)&gt;1,STDEV('Razões RhV'!I7:I16),"n.d.")</f>
        <v>0</v>
      </c>
      <c r="E7" s="8">
        <f>IF(COUNT('Razões RhV'!J7:J16)&gt;0,AVERAGE('Razões RhV'!J7:J16),"n.d.")</f>
        <v>1</v>
      </c>
      <c r="F7" s="8">
        <f>IF(COUNT('Razões RhV'!J7:J16)&gt;1,STDEV('Razões RhV'!J7:J16),"n.d.")</f>
        <v>0</v>
      </c>
      <c r="G7" s="8">
        <f>'Razões RhV'!I5</f>
        <v>1</v>
      </c>
    </row>
    <row r="8" spans="1:7" x14ac:dyDescent="0.25">
      <c r="A8" s="7" t="s">
        <v>47</v>
      </c>
      <c r="B8" s="7">
        <f>COUNT('Razões RhV'!K7:K16)</f>
        <v>10</v>
      </c>
      <c r="C8" s="8">
        <f>IF(COUNT('Razões RhV'!K7:K16)&gt;0,AVERAGE('Razões RhV'!K7:K16),"n.d.")</f>
        <v>1</v>
      </c>
      <c r="D8" s="8">
        <f>IF(COUNT('Razões RhV'!K7:K16)&gt;1,STDEV('Razões RhV'!K7:K16),"n.d.")</f>
        <v>0</v>
      </c>
      <c r="E8" s="8">
        <f>IF(COUNT('Razões RhV'!L7:L16)&gt;0,AVERAGE('Razões RhV'!L7:L16),"n.d.")</f>
        <v>1</v>
      </c>
      <c r="F8" s="8">
        <f>IF(COUNT('Razões RhV'!L7:L16)&gt;1,STDEV('Razões RhV'!L7:L16),"n.d.")</f>
        <v>0</v>
      </c>
      <c r="G8" s="8">
        <f>'Razões RhV'!K5</f>
        <v>1</v>
      </c>
    </row>
    <row r="9" spans="1:7" x14ac:dyDescent="0.25">
      <c r="A9" s="7" t="s">
        <v>48</v>
      </c>
      <c r="B9" s="7">
        <f>COUNT('Razões RhV'!M7:M16)</f>
        <v>10</v>
      </c>
      <c r="C9" s="8">
        <f>IF(COUNT('Razões RhV'!M7:M16)&gt;0,AVERAGE('Razões RhV'!M7:M16),"n.d.")</f>
        <v>1</v>
      </c>
      <c r="D9" s="8">
        <f>IF(COUNT('Razões RhV'!M7:M16)&gt;1,STDEV('Razões RhV'!M7:M16),"n.d.")</f>
        <v>0</v>
      </c>
      <c r="E9" s="8">
        <f>IF(COUNT('Razões RhV'!N7:N16)&gt;0,AVERAGE('Razões RhV'!N7:N16),"n.d.")</f>
        <v>1</v>
      </c>
      <c r="F9" s="8">
        <f>IF(COUNT('Razões RhV'!N7:N16)&gt;1,STDEV('Razões RhV'!N7:N16),"n.d.")</f>
        <v>0</v>
      </c>
      <c r="G9" s="8">
        <f>'Razões RhV'!M5</f>
        <v>1</v>
      </c>
    </row>
    <row r="10" spans="1:7" x14ac:dyDescent="0.25">
      <c r="A10" s="7" t="s">
        <v>49</v>
      </c>
      <c r="B10" s="7">
        <f>COUNT('Razões RhV'!O7:O16)</f>
        <v>10</v>
      </c>
      <c r="C10" s="8">
        <f>IF(COUNT('Razões RhV'!O7:O16)&gt;0,AVERAGE('Razões RhV'!O7:O16),"n.d.")</f>
        <v>1</v>
      </c>
      <c r="D10" s="8">
        <f>IF(COUNT('Razões RhV'!O7:O16)&gt;1,STDEV('Razões RhV'!O7:O16),"n.d.")</f>
        <v>0</v>
      </c>
      <c r="E10" s="8">
        <f>IF(COUNT('Razões RhV'!P7:P16)&gt;0,AVERAGE('Razões RhV'!P7:P16),"n.d.")</f>
        <v>1</v>
      </c>
      <c r="F10" s="8">
        <f>IF(COUNT('Razões RhV'!P7:P16)&gt;1,STDEV('Razões RhV'!P7:P16),"n.d.")</f>
        <v>0</v>
      </c>
      <c r="G10" s="8">
        <f>'Razões RhV'!O5</f>
        <v>1</v>
      </c>
    </row>
    <row r="11" spans="1:7" x14ac:dyDescent="0.25">
      <c r="A11" s="7" t="s">
        <v>50</v>
      </c>
      <c r="B11" s="7">
        <f>COUNT('Razões RhV'!Q7:Q16)</f>
        <v>10</v>
      </c>
      <c r="C11" s="8">
        <f>IF(COUNT('Razões RhV'!Q7:Q16)&gt;0,AVERAGE('Razões RhV'!Q7:Q16),"n.d.")</f>
        <v>1</v>
      </c>
      <c r="D11" s="8">
        <f>IF(COUNT('Razões RhV'!Q7:Q16)&gt;1,STDEV('Razões RhV'!Q7:Q16),"n.d.")</f>
        <v>0</v>
      </c>
      <c r="E11" s="8">
        <f>IF(COUNT('Razões RhV'!R7:R16)&gt;0,AVERAGE('Razões RhV'!R7:R16),"n.d.")</f>
        <v>1</v>
      </c>
      <c r="F11" s="8">
        <f>IF(COUNT('Razões RhV'!R7:R16)&gt;1,STDEV('Razões RhV'!R7:R16),"n.d.")</f>
        <v>0</v>
      </c>
      <c r="G11" s="8">
        <f>'Razões RhV'!Q5</f>
        <v>1</v>
      </c>
    </row>
    <row r="12" spans="1:7" x14ac:dyDescent="0.25">
      <c r="A12" s="7" t="s">
        <v>51</v>
      </c>
      <c r="B12" s="7">
        <f>COUNT('Razões RhV'!S7:S16)</f>
        <v>10</v>
      </c>
      <c r="C12" s="8">
        <f>IF(COUNT('Razões RhV'!S7:S16)&gt;0,AVERAGE('Razões RhV'!S7:S16),"n.d.")</f>
        <v>1</v>
      </c>
      <c r="D12" s="8">
        <f>IF(COUNT('Razões RhV'!S7:S16)&gt;1,STDEV('Razões RhV'!S7:S16),"n.d.")</f>
        <v>0</v>
      </c>
      <c r="E12" s="8">
        <f>IF(COUNT('Razões RhV'!T7:T16)&gt;0,AVERAGE('Razões RhV'!T7:T16),"n.d.")</f>
        <v>1</v>
      </c>
      <c r="F12" s="8">
        <f>IF(COUNT('Razões RhV'!T7:T16)&gt;1,STDEV('Razões RhV'!T7:T16),"n.d.")</f>
        <v>0</v>
      </c>
      <c r="G12" s="8">
        <f>'Razões RhV'!S5</f>
        <v>1</v>
      </c>
    </row>
    <row r="13" spans="1:7" x14ac:dyDescent="0.25">
      <c r="A13" s="7" t="s">
        <v>52</v>
      </c>
      <c r="B13" s="7">
        <f>COUNT('Razões RhV'!U7:U16)</f>
        <v>7</v>
      </c>
      <c r="C13" s="8">
        <f>IF(COUNT('Razões RhV'!U7:U16)&gt;0,AVERAGE('Razões RhV'!U7:U16),"n.d.")</f>
        <v>1</v>
      </c>
      <c r="D13" s="8">
        <f>IF(COUNT('Razões RhV'!U7:U16)&gt;1,STDEV('Razões RhV'!U7:U16),"n.d.")</f>
        <v>0</v>
      </c>
      <c r="E13" s="8">
        <f>IF(COUNT('Razões RhV'!V7:V16)&gt;0,AVERAGE('Razões RhV'!V7:V16),"n.d.")</f>
        <v>1</v>
      </c>
      <c r="F13" s="8">
        <f>IF(COUNT('Razões RhV'!V7:V16)&gt;1,STDEV('Razões RhV'!V7:V16),"n.d.")</f>
        <v>0</v>
      </c>
      <c r="G13" s="8">
        <f>'Razões RhV'!U5</f>
        <v>1</v>
      </c>
    </row>
    <row r="14" spans="1:7" x14ac:dyDescent="0.25">
      <c r="A14" s="9" t="s">
        <v>53</v>
      </c>
      <c r="B14" s="9">
        <f>COUNT('Razões RhV'!W7:W16)</f>
        <v>10</v>
      </c>
      <c r="C14" s="10">
        <f>IF(COUNT('Razões RhV'!W7:W16)&gt;0,AVERAGE('Razões RhV'!W7:W16),"n.d.")</f>
        <v>1</v>
      </c>
      <c r="D14" s="10">
        <f>IF(COUNT('Razões RhV'!W7:W16)&gt;1,STDEV('Razões RhV'!W7:W16),"n.d.")</f>
        <v>0</v>
      </c>
      <c r="E14" s="10">
        <f>IF(COUNT('Razões RhV'!X7:X16)&gt;0,AVERAGE('Razões RhV'!X7:X16),"n.d.")</f>
        <v>1</v>
      </c>
      <c r="F14" s="10">
        <f>IF(COUNT('Razões RhV'!X7:X16)&gt;1,STDEV('Razões RhV'!X7:X16),"n.d.")</f>
        <v>5.2336415289459168E-17</v>
      </c>
      <c r="G14" s="10">
        <f>'Razões RhV'!W5</f>
        <v>1</v>
      </c>
    </row>
    <row r="15" spans="1:7" ht="36" customHeight="1" x14ac:dyDescent="0.25">
      <c r="A15" s="17" t="s">
        <v>55</v>
      </c>
      <c r="B15" s="18"/>
      <c r="C15" s="18"/>
      <c r="D15" s="18"/>
      <c r="E15" s="18"/>
      <c r="F15" s="18"/>
      <c r="G15" s="18"/>
    </row>
  </sheetData>
  <mergeCells count="2"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6" customWidth="1"/>
  </cols>
  <sheetData>
    <row r="1" spans="1:26" ht="15.75" x14ac:dyDescent="0.25">
      <c r="A1" s="11" t="s">
        <v>59</v>
      </c>
    </row>
    <row r="3" spans="1:26" x14ac:dyDescent="0.25">
      <c r="A3" s="12"/>
      <c r="B3" s="12"/>
      <c r="C3" s="20" t="s">
        <v>43</v>
      </c>
      <c r="D3" s="20"/>
      <c r="E3" s="20" t="s">
        <v>44</v>
      </c>
      <c r="F3" s="20"/>
      <c r="G3" s="20" t="s">
        <v>45</v>
      </c>
      <c r="H3" s="20"/>
      <c r="I3" s="20" t="s">
        <v>46</v>
      </c>
      <c r="J3" s="20"/>
      <c r="K3" s="20" t="s">
        <v>47</v>
      </c>
      <c r="L3" s="20"/>
      <c r="M3" s="20" t="s">
        <v>48</v>
      </c>
      <c r="N3" s="20"/>
      <c r="O3" s="20" t="s">
        <v>49</v>
      </c>
      <c r="P3" s="20"/>
      <c r="Q3" s="20" t="s">
        <v>50</v>
      </c>
      <c r="R3" s="20"/>
      <c r="S3" s="20" t="s">
        <v>51</v>
      </c>
      <c r="T3" s="20"/>
      <c r="U3" s="20" t="s">
        <v>52</v>
      </c>
      <c r="V3" s="20"/>
      <c r="W3" s="20" t="s">
        <v>53</v>
      </c>
      <c r="X3" s="20"/>
      <c r="Y3" s="20" t="s">
        <v>54</v>
      </c>
      <c r="Z3" s="20"/>
    </row>
    <row r="4" spans="1:26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62</v>
      </c>
      <c r="F4" s="12" t="s">
        <v>63</v>
      </c>
      <c r="G4" s="12" t="s">
        <v>62</v>
      </c>
      <c r="H4" s="12" t="s">
        <v>63</v>
      </c>
      <c r="I4" s="12" t="s">
        <v>62</v>
      </c>
      <c r="J4" s="12" t="s">
        <v>63</v>
      </c>
      <c r="K4" s="12" t="s">
        <v>62</v>
      </c>
      <c r="L4" s="12" t="s">
        <v>63</v>
      </c>
      <c r="M4" s="12" t="s">
        <v>62</v>
      </c>
      <c r="N4" s="12" t="s">
        <v>63</v>
      </c>
      <c r="O4" s="12" t="s">
        <v>62</v>
      </c>
      <c r="P4" s="12" t="s">
        <v>63</v>
      </c>
      <c r="Q4" s="12" t="s">
        <v>62</v>
      </c>
      <c r="R4" s="12" t="s">
        <v>63</v>
      </c>
      <c r="S4" s="12" t="s">
        <v>62</v>
      </c>
      <c r="T4" s="12" t="s">
        <v>63</v>
      </c>
      <c r="U4" s="12" t="s">
        <v>62</v>
      </c>
      <c r="V4" s="12" t="s">
        <v>63</v>
      </c>
      <c r="W4" s="12" t="s">
        <v>62</v>
      </c>
      <c r="X4" s="12" t="s">
        <v>63</v>
      </c>
      <c r="Y4" s="12" t="s">
        <v>62</v>
      </c>
      <c r="Z4" s="12" t="s">
        <v>63</v>
      </c>
    </row>
    <row r="5" spans="1:26" x14ac:dyDescent="0.25">
      <c r="A5" s="13" t="s">
        <v>42</v>
      </c>
      <c r="B5" s="13"/>
      <c r="C5" s="14">
        <f>IF(AND(ISNUMBER(Calc_AgV!C5),ISNUMBER(Conv_AgV!C5)),Calc_AgV!C5/Conv_AgV!C5,"n.d.")</f>
        <v>1</v>
      </c>
      <c r="D5" s="14"/>
      <c r="E5" s="14">
        <f>IF(AND(ISNUMBER(Calc_AgV!E5),ISNUMBER(Conv_AgV!E5)),Calc_AgV!E5/Conv_AgV!E5,"n.d.")</f>
        <v>1</v>
      </c>
      <c r="F5" s="14"/>
      <c r="G5" s="14">
        <f>IF(AND(ISNUMBER(Calc_AgV!G5),ISNUMBER(Conv_AgV!G5)),Calc_AgV!G5/Conv_AgV!G5,"n.d.")</f>
        <v>1</v>
      </c>
      <c r="H5" s="14"/>
      <c r="I5" s="14">
        <f>IF(AND(ISNUMBER(Calc_AgV!I5),ISNUMBER(Conv_AgV!I5)),Calc_AgV!I5/Conv_AgV!I5,"n.d.")</f>
        <v>1</v>
      </c>
      <c r="J5" s="14"/>
      <c r="K5" s="14">
        <f>IF(AND(ISNUMBER(Calc_AgV!K5),ISNUMBER(Conv_AgV!K5)),Calc_AgV!K5/Conv_AgV!K5,"n.d.")</f>
        <v>1</v>
      </c>
      <c r="L5" s="14"/>
      <c r="M5" s="14">
        <f>IF(AND(ISNUMBER(Calc_AgV!M5),ISNUMBER(Conv_AgV!M5)),Calc_AgV!M5/Conv_AgV!M5,"n.d.")</f>
        <v>1</v>
      </c>
      <c r="N5" s="14"/>
      <c r="O5" s="14">
        <f>IF(AND(ISNUMBER(Calc_AgV!O5),ISNUMBER(Conv_AgV!O5)),Calc_AgV!O5/Conv_AgV!O5,"n.d.")</f>
        <v>1</v>
      </c>
      <c r="P5" s="14"/>
      <c r="Q5" s="14">
        <f>IF(AND(ISNUMBER(Calc_AgV!Q5),ISNUMBER(Conv_AgV!Q5)),Calc_AgV!Q5/Conv_AgV!Q5,"n.d.")</f>
        <v>1</v>
      </c>
      <c r="R5" s="14"/>
      <c r="S5" s="14">
        <f>IF(AND(ISNUMBER(Calc_AgV!S5),ISNUMBER(Conv_AgV!S5)),Calc_AgV!S5/Conv_AgV!S5,"n.d.")</f>
        <v>1</v>
      </c>
      <c r="T5" s="14"/>
      <c r="U5" s="14">
        <f>IF(AND(ISNUMBER(Calc_AgV!U5),ISNUMBER(Conv_AgV!U5)),Calc_AgV!U5/Conv_AgV!U5,"n.d.")</f>
        <v>1</v>
      </c>
      <c r="V5" s="14"/>
      <c r="W5" s="14">
        <f>IF(AND(ISNUMBER(Calc_AgV!W5),ISNUMBER(Conv_AgV!W5)),Calc_AgV!W5/Conv_AgV!W5,"n.d.")</f>
        <v>1</v>
      </c>
      <c r="X5" s="14"/>
      <c r="Y5" s="14">
        <f>IF(AND(ISNUMBER(Calc_AgV!Y5),ISNUMBER(Conv_AgV!Y5)),Calc_AgV!Y5/Conv_AgV!Y5,"n.d.")</f>
        <v>1</v>
      </c>
      <c r="Z5" s="14"/>
    </row>
    <row r="6" spans="1:26" x14ac:dyDescent="0.25">
      <c r="A6" s="13" t="str">
        <f>Calc_AgV!A6</f>
        <v>ab</v>
      </c>
      <c r="B6" s="13" t="str">
        <f>Calc_AgV!B6</f>
        <v>Padrão (1573a)</v>
      </c>
      <c r="C6" s="14">
        <f>IF(AND(ISNUMBER(Calc_AgV!C6),ISNUMBER(Conv_AgV!C6)),Calc_AgV!C6/Conv_AgV!C6,"n.d.")</f>
        <v>1</v>
      </c>
      <c r="D6" s="14">
        <f>IF(AND(ISNUMBER(Calc_AgV!D6),ISNUMBER(Conv_AgV!D6)),Calc_AgV!D6/Conv_AgV!D6,"n.d.")</f>
        <v>1</v>
      </c>
      <c r="E6" s="14">
        <f>IF(AND(ISNUMBER(Calc_AgV!E6),ISNUMBER(Conv_AgV!E6)),Calc_AgV!E6/Conv_AgV!E6,"n.d.")</f>
        <v>1</v>
      </c>
      <c r="F6" s="14">
        <f>IF(AND(ISNUMBER(Calc_AgV!F6),ISNUMBER(Conv_AgV!F6)),Calc_AgV!F6/Conv_AgV!F6,"n.d.")</f>
        <v>1</v>
      </c>
      <c r="G6" s="14">
        <f>IF(AND(ISNUMBER(Calc_AgV!G6),ISNUMBER(Conv_AgV!G6)),Calc_AgV!G6/Conv_AgV!G6,"n.d.")</f>
        <v>1</v>
      </c>
      <c r="H6" s="14">
        <f>IF(AND(ISNUMBER(Calc_AgV!H6),ISNUMBER(Conv_AgV!H6)),Calc_AgV!H6/Conv_AgV!H6,"n.d.")</f>
        <v>1</v>
      </c>
      <c r="I6" s="14">
        <f>IF(AND(ISNUMBER(Calc_AgV!I6),ISNUMBER(Conv_AgV!I6)),Calc_AgV!I6/Conv_AgV!I6,"n.d.")</f>
        <v>1</v>
      </c>
      <c r="J6" s="14">
        <f>IF(AND(ISNUMBER(Calc_AgV!J6),ISNUMBER(Conv_AgV!J6)),Calc_AgV!J6/Conv_AgV!J6,"n.d.")</f>
        <v>1</v>
      </c>
      <c r="K6" s="14">
        <f>IF(AND(ISNUMBER(Calc_AgV!K6),ISNUMBER(Conv_AgV!K6)),Calc_AgV!K6/Conv_AgV!K6,"n.d.")</f>
        <v>1</v>
      </c>
      <c r="L6" s="14">
        <f>IF(AND(ISNUMBER(Calc_AgV!L6),ISNUMBER(Conv_AgV!L6)),Calc_AgV!L6/Conv_AgV!L6,"n.d.")</f>
        <v>1</v>
      </c>
      <c r="M6" s="14">
        <f>IF(AND(ISNUMBER(Calc_AgV!M6),ISNUMBER(Conv_AgV!M6)),Calc_AgV!M6/Conv_AgV!M6,"n.d.")</f>
        <v>1</v>
      </c>
      <c r="N6" s="14">
        <f>IF(AND(ISNUMBER(Calc_AgV!N6),ISNUMBER(Conv_AgV!N6)),Calc_AgV!N6/Conv_AgV!N6,"n.d.")</f>
        <v>1</v>
      </c>
      <c r="O6" s="14">
        <f>IF(AND(ISNUMBER(Calc_AgV!O6),ISNUMBER(Conv_AgV!O6)),Calc_AgV!O6/Conv_AgV!O6,"n.d.")</f>
        <v>1</v>
      </c>
      <c r="P6" s="14">
        <f>IF(AND(ISNUMBER(Calc_AgV!P6),ISNUMBER(Conv_AgV!P6)),Calc_AgV!P6/Conv_AgV!P6,"n.d.")</f>
        <v>1</v>
      </c>
      <c r="Q6" s="14">
        <f>IF(AND(ISNUMBER(Calc_AgV!Q6),ISNUMBER(Conv_AgV!Q6)),Calc_AgV!Q6/Conv_AgV!Q6,"n.d.")</f>
        <v>1</v>
      </c>
      <c r="R6" s="14">
        <f>IF(AND(ISNUMBER(Calc_AgV!R6),ISNUMBER(Conv_AgV!R6)),Calc_AgV!R6/Conv_AgV!R6,"n.d.")</f>
        <v>1</v>
      </c>
      <c r="S6" s="14">
        <f>IF(AND(ISNUMBER(Calc_AgV!S6),ISNUMBER(Conv_AgV!S6)),Calc_AgV!S6/Conv_AgV!S6,"n.d.")</f>
        <v>1</v>
      </c>
      <c r="T6" s="14">
        <f>IF(AND(ISNUMBER(Calc_AgV!T6),ISNUMBER(Conv_AgV!T6)),Calc_AgV!T6/Conv_AgV!T6,"n.d.")</f>
        <v>1</v>
      </c>
      <c r="U6" s="14">
        <f>IF(AND(ISNUMBER(Calc_AgV!U6),ISNUMBER(Conv_AgV!U6)),Calc_AgV!U6/Conv_AgV!U6,"n.d.")</f>
        <v>1</v>
      </c>
      <c r="V6" s="14">
        <f>IF(AND(ISNUMBER(Calc_AgV!V6),ISNUMBER(Conv_AgV!V6)),Calc_AgV!V6/Conv_AgV!V6,"n.d.")</f>
        <v>1</v>
      </c>
      <c r="W6" s="14">
        <f>IF(AND(ISNUMBER(Calc_AgV!W6),ISNUMBER(Conv_AgV!W6)),Calc_AgV!W6/Conv_AgV!W6,"n.d.")</f>
        <v>1</v>
      </c>
      <c r="X6" s="14">
        <f>IF(AND(ISNUMBER(Calc_AgV!X6),ISNUMBER(Conv_AgV!X6)),Calc_AgV!X6/Conv_AgV!X6,"n.d.")</f>
        <v>1</v>
      </c>
      <c r="Y6" s="14">
        <f>IF(AND(ISNUMBER(Calc_AgV!Y6),ISNUMBER(Conv_AgV!Y6)),Calc_AgV!Y6/Conv_AgV!Y6,"n.d.")</f>
        <v>1</v>
      </c>
      <c r="Z6" s="14">
        <f>IF(AND(ISNUMBER(Calc_AgV!Z6),ISNUMBER(Conv_AgV!Z6)),Calc_AgV!Z6/Conv_AgV!Z6,"n.d.")</f>
        <v>1</v>
      </c>
    </row>
    <row r="7" spans="1:26" x14ac:dyDescent="0.25">
      <c r="A7" s="13" t="str">
        <f>Calc_AgV!A7</f>
        <v>ac</v>
      </c>
      <c r="B7" s="13" t="str">
        <f>Calc_AgV!B7</f>
        <v>R2</v>
      </c>
      <c r="C7" s="14">
        <f>IF(AND(ISNUMBER(Calc_AgV!C7),ISNUMBER(Conv_AgV!C7)),Calc_AgV!C7/Conv_AgV!C7,"n.d.")</f>
        <v>1</v>
      </c>
      <c r="D7" s="14">
        <f>IF(AND(ISNUMBER(Calc_AgV!D7),ISNUMBER(Conv_AgV!D7)),Calc_AgV!D7/Conv_AgV!D7,"n.d.")</f>
        <v>1</v>
      </c>
      <c r="E7" s="14">
        <f>IF(AND(ISNUMBER(Calc_AgV!E7),ISNUMBER(Conv_AgV!E7)),Calc_AgV!E7/Conv_AgV!E7,"n.d.")</f>
        <v>1</v>
      </c>
      <c r="F7" s="14">
        <f>IF(AND(ISNUMBER(Calc_AgV!F7),ISNUMBER(Conv_AgV!F7)),Calc_AgV!F7/Conv_AgV!F7,"n.d.")</f>
        <v>1</v>
      </c>
      <c r="G7" s="14">
        <f>IF(AND(ISNUMBER(Calc_AgV!G7),ISNUMBER(Conv_AgV!G7)),Calc_AgV!G7/Conv_AgV!G7,"n.d.")</f>
        <v>1</v>
      </c>
      <c r="H7" s="14">
        <f>IF(AND(ISNUMBER(Calc_AgV!H7),ISNUMBER(Conv_AgV!H7)),Calc_AgV!H7/Conv_AgV!H7,"n.d.")</f>
        <v>1</v>
      </c>
      <c r="I7" s="14">
        <f>IF(AND(ISNUMBER(Calc_AgV!I7),ISNUMBER(Conv_AgV!I7)),Calc_AgV!I7/Conv_AgV!I7,"n.d.")</f>
        <v>1</v>
      </c>
      <c r="J7" s="14">
        <f>IF(AND(ISNUMBER(Calc_AgV!J7),ISNUMBER(Conv_AgV!J7)),Calc_AgV!J7/Conv_AgV!J7,"n.d.")</f>
        <v>1</v>
      </c>
      <c r="K7" s="14">
        <f>IF(AND(ISNUMBER(Calc_AgV!K7),ISNUMBER(Conv_AgV!K7)),Calc_AgV!K7/Conv_AgV!K7,"n.d.")</f>
        <v>1</v>
      </c>
      <c r="L7" s="14">
        <f>IF(AND(ISNUMBER(Calc_AgV!L7),ISNUMBER(Conv_AgV!L7)),Calc_AgV!L7/Conv_AgV!L7,"n.d.")</f>
        <v>1.0000000000000002</v>
      </c>
      <c r="M7" s="14">
        <f>IF(AND(ISNUMBER(Calc_AgV!M7),ISNUMBER(Conv_AgV!M7)),Calc_AgV!M7/Conv_AgV!M7,"n.d.")</f>
        <v>1</v>
      </c>
      <c r="N7" s="14">
        <f>IF(AND(ISNUMBER(Calc_AgV!N7),ISNUMBER(Conv_AgV!N7)),Calc_AgV!N7/Conv_AgV!N7,"n.d.")</f>
        <v>1</v>
      </c>
      <c r="O7" s="14">
        <f>IF(AND(ISNUMBER(Calc_AgV!O7),ISNUMBER(Conv_AgV!O7)),Calc_AgV!O7/Conv_AgV!O7,"n.d.")</f>
        <v>1</v>
      </c>
      <c r="P7" s="14">
        <f>IF(AND(ISNUMBER(Calc_AgV!P7),ISNUMBER(Conv_AgV!P7)),Calc_AgV!P7/Conv_AgV!P7,"n.d.")</f>
        <v>1</v>
      </c>
      <c r="Q7" s="14">
        <f>IF(AND(ISNUMBER(Calc_AgV!Q7),ISNUMBER(Conv_AgV!Q7)),Calc_AgV!Q7/Conv_AgV!Q7,"n.d.")</f>
        <v>1</v>
      </c>
      <c r="R7" s="14">
        <f>IF(AND(ISNUMBER(Calc_AgV!R7),ISNUMBER(Conv_AgV!R7)),Calc_AgV!R7/Conv_AgV!R7,"n.d.")</f>
        <v>0.99999999999999978</v>
      </c>
      <c r="S7" s="14">
        <f>IF(AND(ISNUMBER(Calc_AgV!S7),ISNUMBER(Conv_AgV!S7)),Calc_AgV!S7/Conv_AgV!S7,"n.d.")</f>
        <v>1</v>
      </c>
      <c r="T7" s="14">
        <f>IF(AND(ISNUMBER(Calc_AgV!T7),ISNUMBER(Conv_AgV!T7)),Calc_AgV!T7/Conv_AgV!T7,"n.d.")</f>
        <v>1</v>
      </c>
      <c r="U7" s="14">
        <f>IF(AND(ISNUMBER(Calc_AgV!U7),ISNUMBER(Conv_AgV!U7)),Calc_AgV!U7/Conv_AgV!U7,"n.d.")</f>
        <v>1</v>
      </c>
      <c r="V7" s="14">
        <f>IF(AND(ISNUMBER(Calc_AgV!V7),ISNUMBER(Conv_AgV!V7)),Calc_AgV!V7/Conv_AgV!V7,"n.d.")</f>
        <v>1</v>
      </c>
      <c r="W7" s="14">
        <f>IF(AND(ISNUMBER(Calc_AgV!W7),ISNUMBER(Conv_AgV!W7)),Calc_AgV!W7/Conv_AgV!W7,"n.d.")</f>
        <v>1</v>
      </c>
      <c r="X7" s="14">
        <f>IF(AND(ISNUMBER(Calc_AgV!X7),ISNUMBER(Conv_AgV!X7)),Calc_AgV!X7/Conv_AgV!X7,"n.d.")</f>
        <v>1</v>
      </c>
      <c r="Y7" s="14">
        <f>IF(AND(ISNUMBER(Calc_AgV!Y7),ISNUMBER(Conv_AgV!Y7)),Calc_AgV!Y7/Conv_AgV!Y7,"n.d.")</f>
        <v>1</v>
      </c>
      <c r="Z7" s="14">
        <f>IF(AND(ISNUMBER(Calc_AgV!Z7),ISNUMBER(Conv_AgV!Z7)),Calc_AgV!Z7/Conv_AgV!Z7,"n.d.")</f>
        <v>1</v>
      </c>
    </row>
    <row r="8" spans="1:26" x14ac:dyDescent="0.25">
      <c r="A8" s="13" t="str">
        <f>Calc_AgV!A8</f>
        <v>ad</v>
      </c>
      <c r="B8" s="13" t="str">
        <f>Calc_AgV!B8</f>
        <v>R3</v>
      </c>
      <c r="C8" s="14">
        <f>IF(AND(ISNUMBER(Calc_AgV!C8),ISNUMBER(Conv_AgV!C8)),Calc_AgV!C8/Conv_AgV!C8,"n.d.")</f>
        <v>1</v>
      </c>
      <c r="D8" s="14">
        <f>IF(AND(ISNUMBER(Calc_AgV!D8),ISNUMBER(Conv_AgV!D8)),Calc_AgV!D8/Conv_AgV!D8,"n.d.")</f>
        <v>1</v>
      </c>
      <c r="E8" s="14">
        <f>IF(AND(ISNUMBER(Calc_AgV!E8),ISNUMBER(Conv_AgV!E8)),Calc_AgV!E8/Conv_AgV!E8,"n.d.")</f>
        <v>1</v>
      </c>
      <c r="F8" s="14">
        <f>IF(AND(ISNUMBER(Calc_AgV!F8),ISNUMBER(Conv_AgV!F8)),Calc_AgV!F8/Conv_AgV!F8,"n.d.")</f>
        <v>1</v>
      </c>
      <c r="G8" s="14">
        <f>IF(AND(ISNUMBER(Calc_AgV!G8),ISNUMBER(Conv_AgV!G8)),Calc_AgV!G8/Conv_AgV!G8,"n.d.")</f>
        <v>1</v>
      </c>
      <c r="H8" s="14">
        <f>IF(AND(ISNUMBER(Calc_AgV!H8),ISNUMBER(Conv_AgV!H8)),Calc_AgV!H8/Conv_AgV!H8,"n.d.")</f>
        <v>1</v>
      </c>
      <c r="I8" s="14">
        <f>IF(AND(ISNUMBER(Calc_AgV!I8),ISNUMBER(Conv_AgV!I8)),Calc_AgV!I8/Conv_AgV!I8,"n.d.")</f>
        <v>1</v>
      </c>
      <c r="J8" s="14">
        <f>IF(AND(ISNUMBER(Calc_AgV!J8),ISNUMBER(Conv_AgV!J8)),Calc_AgV!J8/Conv_AgV!J8,"n.d.")</f>
        <v>1</v>
      </c>
      <c r="K8" s="14">
        <f>IF(AND(ISNUMBER(Calc_AgV!K8),ISNUMBER(Conv_AgV!K8)),Calc_AgV!K8/Conv_AgV!K8,"n.d.")</f>
        <v>1</v>
      </c>
      <c r="L8" s="14">
        <f>IF(AND(ISNUMBER(Calc_AgV!L8),ISNUMBER(Conv_AgV!L8)),Calc_AgV!L8/Conv_AgV!L8,"n.d.")</f>
        <v>1</v>
      </c>
      <c r="M8" s="14">
        <f>IF(AND(ISNUMBER(Calc_AgV!M8),ISNUMBER(Conv_AgV!M8)),Calc_AgV!M8/Conv_AgV!M8,"n.d.")</f>
        <v>1</v>
      </c>
      <c r="N8" s="14">
        <f>IF(AND(ISNUMBER(Calc_AgV!N8),ISNUMBER(Conv_AgV!N8)),Calc_AgV!N8/Conv_AgV!N8,"n.d.")</f>
        <v>1</v>
      </c>
      <c r="O8" s="14">
        <f>IF(AND(ISNUMBER(Calc_AgV!O8),ISNUMBER(Conv_AgV!O8)),Calc_AgV!O8/Conv_AgV!O8,"n.d.")</f>
        <v>1</v>
      </c>
      <c r="P8" s="14">
        <f>IF(AND(ISNUMBER(Calc_AgV!P8),ISNUMBER(Conv_AgV!P8)),Calc_AgV!P8/Conv_AgV!P8,"n.d.")</f>
        <v>1</v>
      </c>
      <c r="Q8" s="14">
        <f>IF(AND(ISNUMBER(Calc_AgV!Q8),ISNUMBER(Conv_AgV!Q8)),Calc_AgV!Q8/Conv_AgV!Q8,"n.d.")</f>
        <v>1</v>
      </c>
      <c r="R8" s="14">
        <f>IF(AND(ISNUMBER(Calc_AgV!R8),ISNUMBER(Conv_AgV!R8)),Calc_AgV!R8/Conv_AgV!R8,"n.d.")</f>
        <v>1</v>
      </c>
      <c r="S8" s="14">
        <f>IF(AND(ISNUMBER(Calc_AgV!S8),ISNUMBER(Conv_AgV!S8)),Calc_AgV!S8/Conv_AgV!S8,"n.d.")</f>
        <v>1</v>
      </c>
      <c r="T8" s="14">
        <f>IF(AND(ISNUMBER(Calc_AgV!T8),ISNUMBER(Conv_AgV!T8)),Calc_AgV!T8/Conv_AgV!T8,"n.d.")</f>
        <v>1</v>
      </c>
      <c r="U8" s="14">
        <f>IF(AND(ISNUMBER(Calc_AgV!U8),ISNUMBER(Conv_AgV!U8)),Calc_AgV!U8/Conv_AgV!U8,"n.d.")</f>
        <v>1</v>
      </c>
      <c r="V8" s="14">
        <f>IF(AND(ISNUMBER(Calc_AgV!V8),ISNUMBER(Conv_AgV!V8)),Calc_AgV!V8/Conv_AgV!V8,"n.d.")</f>
        <v>1</v>
      </c>
      <c r="W8" s="14">
        <f>IF(AND(ISNUMBER(Calc_AgV!W8),ISNUMBER(Conv_AgV!W8)),Calc_AgV!W8/Conv_AgV!W8,"n.d.")</f>
        <v>1</v>
      </c>
      <c r="X8" s="14">
        <f>IF(AND(ISNUMBER(Calc_AgV!X8),ISNUMBER(Conv_AgV!X8)),Calc_AgV!X8/Conv_AgV!X8,"n.d.")</f>
        <v>1</v>
      </c>
      <c r="Y8" s="14" t="str">
        <f>IF(AND(ISNUMBER(Calc_AgV!Y8),ISNUMBER(Conv_AgV!Y8)),Calc_AgV!Y8/Conv_AgV!Y8,"n.d.")</f>
        <v>n.d.</v>
      </c>
      <c r="Z8" s="14" t="str">
        <f>IF(AND(ISNUMBER(Calc_AgV!Z8),ISNUMBER(Conv_AgV!Z8)),Calc_AgV!Z8/Conv_AgV!Z8,"n.d.")</f>
        <v>n.d.</v>
      </c>
    </row>
    <row r="9" spans="1:26" x14ac:dyDescent="0.25">
      <c r="A9" s="13" t="str">
        <f>Calc_AgV!A9</f>
        <v>ae</v>
      </c>
      <c r="B9" s="13" t="str">
        <f>Calc_AgV!B9</f>
        <v>R4</v>
      </c>
      <c r="C9" s="14">
        <f>IF(AND(ISNUMBER(Calc_AgV!C9),ISNUMBER(Conv_AgV!C9)),Calc_AgV!C9/Conv_AgV!C9,"n.d.")</f>
        <v>1</v>
      </c>
      <c r="D9" s="14">
        <f>IF(AND(ISNUMBER(Calc_AgV!D9),ISNUMBER(Conv_AgV!D9)),Calc_AgV!D9/Conv_AgV!D9,"n.d.")</f>
        <v>1</v>
      </c>
      <c r="E9" s="14">
        <f>IF(AND(ISNUMBER(Calc_AgV!E9),ISNUMBER(Conv_AgV!E9)),Calc_AgV!E9/Conv_AgV!E9,"n.d.")</f>
        <v>1</v>
      </c>
      <c r="F9" s="14">
        <f>IF(AND(ISNUMBER(Calc_AgV!F9),ISNUMBER(Conv_AgV!F9)),Calc_AgV!F9/Conv_AgV!F9,"n.d.")</f>
        <v>1</v>
      </c>
      <c r="G9" s="14">
        <f>IF(AND(ISNUMBER(Calc_AgV!G9),ISNUMBER(Conv_AgV!G9)),Calc_AgV!G9/Conv_AgV!G9,"n.d.")</f>
        <v>1</v>
      </c>
      <c r="H9" s="14">
        <f>IF(AND(ISNUMBER(Calc_AgV!H9),ISNUMBER(Conv_AgV!H9)),Calc_AgV!H9/Conv_AgV!H9,"n.d.")</f>
        <v>1</v>
      </c>
      <c r="I9" s="14">
        <f>IF(AND(ISNUMBER(Calc_AgV!I9),ISNUMBER(Conv_AgV!I9)),Calc_AgV!I9/Conv_AgV!I9,"n.d.")</f>
        <v>1</v>
      </c>
      <c r="J9" s="14">
        <f>IF(AND(ISNUMBER(Calc_AgV!J9),ISNUMBER(Conv_AgV!J9)),Calc_AgV!J9/Conv_AgV!J9,"n.d.")</f>
        <v>1</v>
      </c>
      <c r="K9" s="14">
        <f>IF(AND(ISNUMBER(Calc_AgV!K9),ISNUMBER(Conv_AgV!K9)),Calc_AgV!K9/Conv_AgV!K9,"n.d.")</f>
        <v>1</v>
      </c>
      <c r="L9" s="14">
        <f>IF(AND(ISNUMBER(Calc_AgV!L9),ISNUMBER(Conv_AgV!L9)),Calc_AgV!L9/Conv_AgV!L9,"n.d.")</f>
        <v>1</v>
      </c>
      <c r="M9" s="14">
        <f>IF(AND(ISNUMBER(Calc_AgV!M9),ISNUMBER(Conv_AgV!M9)),Calc_AgV!M9/Conv_AgV!M9,"n.d.")</f>
        <v>1</v>
      </c>
      <c r="N9" s="14">
        <f>IF(AND(ISNUMBER(Calc_AgV!N9),ISNUMBER(Conv_AgV!N9)),Calc_AgV!N9/Conv_AgV!N9,"n.d.")</f>
        <v>1</v>
      </c>
      <c r="O9" s="14">
        <f>IF(AND(ISNUMBER(Calc_AgV!O9),ISNUMBER(Conv_AgV!O9)),Calc_AgV!O9/Conv_AgV!O9,"n.d.")</f>
        <v>1</v>
      </c>
      <c r="P9" s="14">
        <f>IF(AND(ISNUMBER(Calc_AgV!P9),ISNUMBER(Conv_AgV!P9)),Calc_AgV!P9/Conv_AgV!P9,"n.d.")</f>
        <v>1</v>
      </c>
      <c r="Q9" s="14">
        <f>IF(AND(ISNUMBER(Calc_AgV!Q9),ISNUMBER(Conv_AgV!Q9)),Calc_AgV!Q9/Conv_AgV!Q9,"n.d.")</f>
        <v>1</v>
      </c>
      <c r="R9" s="14">
        <f>IF(AND(ISNUMBER(Calc_AgV!R9),ISNUMBER(Conv_AgV!R9)),Calc_AgV!R9/Conv_AgV!R9,"n.d.")</f>
        <v>1</v>
      </c>
      <c r="S9" s="14">
        <f>IF(AND(ISNUMBER(Calc_AgV!S9),ISNUMBER(Conv_AgV!S9)),Calc_AgV!S9/Conv_AgV!S9,"n.d.")</f>
        <v>1</v>
      </c>
      <c r="T9" s="14">
        <f>IF(AND(ISNUMBER(Calc_AgV!T9),ISNUMBER(Conv_AgV!T9)),Calc_AgV!T9/Conv_AgV!T9,"n.d.")</f>
        <v>1</v>
      </c>
      <c r="U9" s="14">
        <f>IF(AND(ISNUMBER(Calc_AgV!U9),ISNUMBER(Conv_AgV!U9)),Calc_AgV!U9/Conv_AgV!U9,"n.d.")</f>
        <v>1</v>
      </c>
      <c r="V9" s="14">
        <f>IF(AND(ISNUMBER(Calc_AgV!V9),ISNUMBER(Conv_AgV!V9)),Calc_AgV!V9/Conv_AgV!V9,"n.d.")</f>
        <v>1</v>
      </c>
      <c r="W9" s="14">
        <f>IF(AND(ISNUMBER(Calc_AgV!W9),ISNUMBER(Conv_AgV!W9)),Calc_AgV!W9/Conv_AgV!W9,"n.d.")</f>
        <v>1</v>
      </c>
      <c r="X9" s="14">
        <f>IF(AND(ISNUMBER(Calc_AgV!X9),ISNUMBER(Conv_AgV!X9)),Calc_AgV!X9/Conv_AgV!X9,"n.d.")</f>
        <v>1</v>
      </c>
      <c r="Y9" s="14">
        <f>IF(AND(ISNUMBER(Calc_AgV!Y9),ISNUMBER(Conv_AgV!Y9)),Calc_AgV!Y9/Conv_AgV!Y9,"n.d.")</f>
        <v>1</v>
      </c>
      <c r="Z9" s="14">
        <f>IF(AND(ISNUMBER(Calc_AgV!Z9),ISNUMBER(Conv_AgV!Z9)),Calc_AgV!Z9/Conv_AgV!Z9,"n.d.")</f>
        <v>1</v>
      </c>
    </row>
    <row r="10" spans="1:26" x14ac:dyDescent="0.25">
      <c r="A10" s="13" t="str">
        <f>Calc_AgV!A10</f>
        <v>af</v>
      </c>
      <c r="B10" s="13" t="str">
        <f>Calc_AgV!B10</f>
        <v>R5</v>
      </c>
      <c r="C10" s="14">
        <f>IF(AND(ISNUMBER(Calc_AgV!C10),ISNUMBER(Conv_AgV!C10)),Calc_AgV!C10/Conv_AgV!C10,"n.d.")</f>
        <v>1</v>
      </c>
      <c r="D10" s="14">
        <f>IF(AND(ISNUMBER(Calc_AgV!D10),ISNUMBER(Conv_AgV!D10)),Calc_AgV!D10/Conv_AgV!D10,"n.d.")</f>
        <v>1</v>
      </c>
      <c r="E10" s="14">
        <f>IF(AND(ISNUMBER(Calc_AgV!E10),ISNUMBER(Conv_AgV!E10)),Calc_AgV!E10/Conv_AgV!E10,"n.d.")</f>
        <v>1</v>
      </c>
      <c r="F10" s="14">
        <f>IF(AND(ISNUMBER(Calc_AgV!F10),ISNUMBER(Conv_AgV!F10)),Calc_AgV!F10/Conv_AgV!F10,"n.d.")</f>
        <v>1</v>
      </c>
      <c r="G10" s="14">
        <f>IF(AND(ISNUMBER(Calc_AgV!G10),ISNUMBER(Conv_AgV!G10)),Calc_AgV!G10/Conv_AgV!G10,"n.d.")</f>
        <v>1</v>
      </c>
      <c r="H10" s="14">
        <f>IF(AND(ISNUMBER(Calc_AgV!H10),ISNUMBER(Conv_AgV!H10)),Calc_AgV!H10/Conv_AgV!H10,"n.d.")</f>
        <v>1</v>
      </c>
      <c r="I10" s="14">
        <f>IF(AND(ISNUMBER(Calc_AgV!I10),ISNUMBER(Conv_AgV!I10)),Calc_AgV!I10/Conv_AgV!I10,"n.d.")</f>
        <v>1</v>
      </c>
      <c r="J10" s="14">
        <f>IF(AND(ISNUMBER(Calc_AgV!J10),ISNUMBER(Conv_AgV!J10)),Calc_AgV!J10/Conv_AgV!J10,"n.d.")</f>
        <v>1</v>
      </c>
      <c r="K10" s="14">
        <f>IF(AND(ISNUMBER(Calc_AgV!K10),ISNUMBER(Conv_AgV!K10)),Calc_AgV!K10/Conv_AgV!K10,"n.d.")</f>
        <v>1</v>
      </c>
      <c r="L10" s="14">
        <f>IF(AND(ISNUMBER(Calc_AgV!L10),ISNUMBER(Conv_AgV!L10)),Calc_AgV!L10/Conv_AgV!L10,"n.d.")</f>
        <v>1</v>
      </c>
      <c r="M10" s="14">
        <f>IF(AND(ISNUMBER(Calc_AgV!M10),ISNUMBER(Conv_AgV!M10)),Calc_AgV!M10/Conv_AgV!M10,"n.d.")</f>
        <v>1</v>
      </c>
      <c r="N10" s="14">
        <f>IF(AND(ISNUMBER(Calc_AgV!N10),ISNUMBER(Conv_AgV!N10)),Calc_AgV!N10/Conv_AgV!N10,"n.d.")</f>
        <v>1</v>
      </c>
      <c r="O10" s="14">
        <f>IF(AND(ISNUMBER(Calc_AgV!O10),ISNUMBER(Conv_AgV!O10)),Calc_AgV!O10/Conv_AgV!O10,"n.d.")</f>
        <v>1</v>
      </c>
      <c r="P10" s="14">
        <f>IF(AND(ISNUMBER(Calc_AgV!P10),ISNUMBER(Conv_AgV!P10)),Calc_AgV!P10/Conv_AgV!P10,"n.d.")</f>
        <v>1</v>
      </c>
      <c r="Q10" s="14">
        <f>IF(AND(ISNUMBER(Calc_AgV!Q10),ISNUMBER(Conv_AgV!Q10)),Calc_AgV!Q10/Conv_AgV!Q10,"n.d.")</f>
        <v>1</v>
      </c>
      <c r="R10" s="14">
        <f>IF(AND(ISNUMBER(Calc_AgV!R10),ISNUMBER(Conv_AgV!R10)),Calc_AgV!R10/Conv_AgV!R10,"n.d.")</f>
        <v>1</v>
      </c>
      <c r="S10" s="14">
        <f>IF(AND(ISNUMBER(Calc_AgV!S10),ISNUMBER(Conv_AgV!S10)),Calc_AgV!S10/Conv_AgV!S10,"n.d.")</f>
        <v>1</v>
      </c>
      <c r="T10" s="14">
        <f>IF(AND(ISNUMBER(Calc_AgV!T10),ISNUMBER(Conv_AgV!T10)),Calc_AgV!T10/Conv_AgV!T10,"n.d.")</f>
        <v>1</v>
      </c>
      <c r="U10" s="14">
        <f>IF(AND(ISNUMBER(Calc_AgV!U10),ISNUMBER(Conv_AgV!U10)),Calc_AgV!U10/Conv_AgV!U10,"n.d.")</f>
        <v>1</v>
      </c>
      <c r="V10" s="14">
        <f>IF(AND(ISNUMBER(Calc_AgV!V10),ISNUMBER(Conv_AgV!V10)),Calc_AgV!V10/Conv_AgV!V10,"n.d.")</f>
        <v>1</v>
      </c>
      <c r="W10" s="14">
        <f>IF(AND(ISNUMBER(Calc_AgV!W10),ISNUMBER(Conv_AgV!W10)),Calc_AgV!W10/Conv_AgV!W10,"n.d.")</f>
        <v>1</v>
      </c>
      <c r="X10" s="14">
        <f>IF(AND(ISNUMBER(Calc_AgV!X10),ISNUMBER(Conv_AgV!X10)),Calc_AgV!X10/Conv_AgV!X10,"n.d.")</f>
        <v>1</v>
      </c>
      <c r="Y10" s="14">
        <f>IF(AND(ISNUMBER(Calc_AgV!Y10),ISNUMBER(Conv_AgV!Y10)),Calc_AgV!Y10/Conv_AgV!Y10,"n.d.")</f>
        <v>1</v>
      </c>
      <c r="Z10" s="14">
        <f>IF(AND(ISNUMBER(Calc_AgV!Z10),ISNUMBER(Conv_AgV!Z10)),Calc_AgV!Z10/Conv_AgV!Z10,"n.d.")</f>
        <v>1</v>
      </c>
    </row>
    <row r="11" spans="1:26" x14ac:dyDescent="0.25">
      <c r="A11" s="13" t="str">
        <f>Calc_AgV!A11</f>
        <v>ag</v>
      </c>
      <c r="B11" s="13" t="str">
        <f>Calc_AgV!B11</f>
        <v>R6</v>
      </c>
      <c r="C11" s="14">
        <f>IF(AND(ISNUMBER(Calc_AgV!C11),ISNUMBER(Conv_AgV!C11)),Calc_AgV!C11/Conv_AgV!C11,"n.d.")</f>
        <v>1</v>
      </c>
      <c r="D11" s="14">
        <f>IF(AND(ISNUMBER(Calc_AgV!D11),ISNUMBER(Conv_AgV!D11)),Calc_AgV!D11/Conv_AgV!D11,"n.d.")</f>
        <v>1</v>
      </c>
      <c r="E11" s="14">
        <f>IF(AND(ISNUMBER(Calc_AgV!E11),ISNUMBER(Conv_AgV!E11)),Calc_AgV!E11/Conv_AgV!E11,"n.d.")</f>
        <v>1</v>
      </c>
      <c r="F11" s="14">
        <f>IF(AND(ISNUMBER(Calc_AgV!F11),ISNUMBER(Conv_AgV!F11)),Calc_AgV!F11/Conv_AgV!F11,"n.d.")</f>
        <v>1</v>
      </c>
      <c r="G11" s="14">
        <f>IF(AND(ISNUMBER(Calc_AgV!G11),ISNUMBER(Conv_AgV!G11)),Calc_AgV!G11/Conv_AgV!G11,"n.d.")</f>
        <v>1</v>
      </c>
      <c r="H11" s="14">
        <f>IF(AND(ISNUMBER(Calc_AgV!H11),ISNUMBER(Conv_AgV!H11)),Calc_AgV!H11/Conv_AgV!H11,"n.d.")</f>
        <v>1</v>
      </c>
      <c r="I11" s="14">
        <f>IF(AND(ISNUMBER(Calc_AgV!I11),ISNUMBER(Conv_AgV!I11)),Calc_AgV!I11/Conv_AgV!I11,"n.d.")</f>
        <v>1</v>
      </c>
      <c r="J11" s="14">
        <f>IF(AND(ISNUMBER(Calc_AgV!J11),ISNUMBER(Conv_AgV!J11)),Calc_AgV!J11/Conv_AgV!J11,"n.d.")</f>
        <v>1</v>
      </c>
      <c r="K11" s="14">
        <f>IF(AND(ISNUMBER(Calc_AgV!K11),ISNUMBER(Conv_AgV!K11)),Calc_AgV!K11/Conv_AgV!K11,"n.d.")</f>
        <v>1</v>
      </c>
      <c r="L11" s="14">
        <f>IF(AND(ISNUMBER(Calc_AgV!L11),ISNUMBER(Conv_AgV!L11)),Calc_AgV!L11/Conv_AgV!L11,"n.d.")</f>
        <v>1</v>
      </c>
      <c r="M11" s="14">
        <f>IF(AND(ISNUMBER(Calc_AgV!M11),ISNUMBER(Conv_AgV!M11)),Calc_AgV!M11/Conv_AgV!M11,"n.d.")</f>
        <v>1</v>
      </c>
      <c r="N11" s="14">
        <f>IF(AND(ISNUMBER(Calc_AgV!N11),ISNUMBER(Conv_AgV!N11)),Calc_AgV!N11/Conv_AgV!N11,"n.d.")</f>
        <v>1</v>
      </c>
      <c r="O11" s="14">
        <f>IF(AND(ISNUMBER(Calc_AgV!O11),ISNUMBER(Conv_AgV!O11)),Calc_AgV!O11/Conv_AgV!O11,"n.d.")</f>
        <v>1</v>
      </c>
      <c r="P11" s="14">
        <f>IF(AND(ISNUMBER(Calc_AgV!P11),ISNUMBER(Conv_AgV!P11)),Calc_AgV!P11/Conv_AgV!P11,"n.d.")</f>
        <v>1</v>
      </c>
      <c r="Q11" s="14">
        <f>IF(AND(ISNUMBER(Calc_AgV!Q11),ISNUMBER(Conv_AgV!Q11)),Calc_AgV!Q11/Conv_AgV!Q11,"n.d.")</f>
        <v>1</v>
      </c>
      <c r="R11" s="14">
        <f>IF(AND(ISNUMBER(Calc_AgV!R11),ISNUMBER(Conv_AgV!R11)),Calc_AgV!R11/Conv_AgV!R11,"n.d.")</f>
        <v>1</v>
      </c>
      <c r="S11" s="14">
        <f>IF(AND(ISNUMBER(Calc_AgV!S11),ISNUMBER(Conv_AgV!S11)),Calc_AgV!S11/Conv_AgV!S11,"n.d.")</f>
        <v>1</v>
      </c>
      <c r="T11" s="14">
        <f>IF(AND(ISNUMBER(Calc_AgV!T11),ISNUMBER(Conv_AgV!T11)),Calc_AgV!T11/Conv_AgV!T11,"n.d.")</f>
        <v>1</v>
      </c>
      <c r="U11" s="14">
        <f>IF(AND(ISNUMBER(Calc_AgV!U11),ISNUMBER(Conv_AgV!U11)),Calc_AgV!U11/Conv_AgV!U11,"n.d.")</f>
        <v>1</v>
      </c>
      <c r="V11" s="14">
        <f>IF(AND(ISNUMBER(Calc_AgV!V11),ISNUMBER(Conv_AgV!V11)),Calc_AgV!V11/Conv_AgV!V11,"n.d.")</f>
        <v>1</v>
      </c>
      <c r="W11" s="14">
        <f>IF(AND(ISNUMBER(Calc_AgV!W11),ISNUMBER(Conv_AgV!W11)),Calc_AgV!W11/Conv_AgV!W11,"n.d.")</f>
        <v>1</v>
      </c>
      <c r="X11" s="14">
        <f>IF(AND(ISNUMBER(Calc_AgV!X11),ISNUMBER(Conv_AgV!X11)),Calc_AgV!X11/Conv_AgV!X11,"n.d.")</f>
        <v>1</v>
      </c>
      <c r="Y11" s="14">
        <f>IF(AND(ISNUMBER(Calc_AgV!Y11),ISNUMBER(Conv_AgV!Y11)),Calc_AgV!Y11/Conv_AgV!Y11,"n.d.")</f>
        <v>1</v>
      </c>
      <c r="Z11" s="14">
        <f>IF(AND(ISNUMBER(Calc_AgV!Z11),ISNUMBER(Conv_AgV!Z11)),Calc_AgV!Z11/Conv_AgV!Z11,"n.d.")</f>
        <v>1</v>
      </c>
    </row>
    <row r="12" spans="1:26" x14ac:dyDescent="0.25">
      <c r="A12" s="13" t="str">
        <f>Calc_AgV!A12</f>
        <v>ah</v>
      </c>
      <c r="B12" s="13" t="str">
        <f>Calc_AgV!B12</f>
        <v>R7</v>
      </c>
      <c r="C12" s="14">
        <f>IF(AND(ISNUMBER(Calc_AgV!C12),ISNUMBER(Conv_AgV!C12)),Calc_AgV!C12/Conv_AgV!C12,"n.d.")</f>
        <v>1</v>
      </c>
      <c r="D12" s="14">
        <f>IF(AND(ISNUMBER(Calc_AgV!D12),ISNUMBER(Conv_AgV!D12)),Calc_AgV!D12/Conv_AgV!D12,"n.d.")</f>
        <v>1</v>
      </c>
      <c r="E12" s="14">
        <f>IF(AND(ISNUMBER(Calc_AgV!E12),ISNUMBER(Conv_AgV!E12)),Calc_AgV!E12/Conv_AgV!E12,"n.d.")</f>
        <v>1</v>
      </c>
      <c r="F12" s="14">
        <f>IF(AND(ISNUMBER(Calc_AgV!F12),ISNUMBER(Conv_AgV!F12)),Calc_AgV!F12/Conv_AgV!F12,"n.d.")</f>
        <v>1</v>
      </c>
      <c r="G12" s="14">
        <f>IF(AND(ISNUMBER(Calc_AgV!G12),ISNUMBER(Conv_AgV!G12)),Calc_AgV!G12/Conv_AgV!G12,"n.d.")</f>
        <v>1</v>
      </c>
      <c r="H12" s="14">
        <f>IF(AND(ISNUMBER(Calc_AgV!H12),ISNUMBER(Conv_AgV!H12)),Calc_AgV!H12/Conv_AgV!H12,"n.d.")</f>
        <v>1</v>
      </c>
      <c r="I12" s="14">
        <f>IF(AND(ISNUMBER(Calc_AgV!I12),ISNUMBER(Conv_AgV!I12)),Calc_AgV!I12/Conv_AgV!I12,"n.d.")</f>
        <v>1</v>
      </c>
      <c r="J12" s="14">
        <f>IF(AND(ISNUMBER(Calc_AgV!J12),ISNUMBER(Conv_AgV!J12)),Calc_AgV!J12/Conv_AgV!J12,"n.d.")</f>
        <v>1</v>
      </c>
      <c r="K12" s="14">
        <f>IF(AND(ISNUMBER(Calc_AgV!K12),ISNUMBER(Conv_AgV!K12)),Calc_AgV!K12/Conv_AgV!K12,"n.d.")</f>
        <v>1</v>
      </c>
      <c r="L12" s="14">
        <f>IF(AND(ISNUMBER(Calc_AgV!L12),ISNUMBER(Conv_AgV!L12)),Calc_AgV!L12/Conv_AgV!L12,"n.d.")</f>
        <v>1</v>
      </c>
      <c r="M12" s="14">
        <f>IF(AND(ISNUMBER(Calc_AgV!M12),ISNUMBER(Conv_AgV!M12)),Calc_AgV!M12/Conv_AgV!M12,"n.d.")</f>
        <v>1</v>
      </c>
      <c r="N12" s="14">
        <f>IF(AND(ISNUMBER(Calc_AgV!N12),ISNUMBER(Conv_AgV!N12)),Calc_AgV!N12/Conv_AgV!N12,"n.d.")</f>
        <v>1</v>
      </c>
      <c r="O12" s="14">
        <f>IF(AND(ISNUMBER(Calc_AgV!O12),ISNUMBER(Conv_AgV!O12)),Calc_AgV!O12/Conv_AgV!O12,"n.d.")</f>
        <v>1</v>
      </c>
      <c r="P12" s="14">
        <f>IF(AND(ISNUMBER(Calc_AgV!P12),ISNUMBER(Conv_AgV!P12)),Calc_AgV!P12/Conv_AgV!P12,"n.d.")</f>
        <v>1</v>
      </c>
      <c r="Q12" s="14">
        <f>IF(AND(ISNUMBER(Calc_AgV!Q12),ISNUMBER(Conv_AgV!Q12)),Calc_AgV!Q12/Conv_AgV!Q12,"n.d.")</f>
        <v>1</v>
      </c>
      <c r="R12" s="14">
        <f>IF(AND(ISNUMBER(Calc_AgV!R12),ISNUMBER(Conv_AgV!R12)),Calc_AgV!R12/Conv_AgV!R12,"n.d.")</f>
        <v>1</v>
      </c>
      <c r="S12" s="14">
        <f>IF(AND(ISNUMBER(Calc_AgV!S12),ISNUMBER(Conv_AgV!S12)),Calc_AgV!S12/Conv_AgV!S12,"n.d.")</f>
        <v>1</v>
      </c>
      <c r="T12" s="14">
        <f>IF(AND(ISNUMBER(Calc_AgV!T12),ISNUMBER(Conv_AgV!T12)),Calc_AgV!T12/Conv_AgV!T12,"n.d.")</f>
        <v>1</v>
      </c>
      <c r="U12" s="14">
        <f>IF(AND(ISNUMBER(Calc_AgV!U12),ISNUMBER(Conv_AgV!U12)),Calc_AgV!U12/Conv_AgV!U12,"n.d.")</f>
        <v>1</v>
      </c>
      <c r="V12" s="14">
        <f>IF(AND(ISNUMBER(Calc_AgV!V12),ISNUMBER(Conv_AgV!V12)),Calc_AgV!V12/Conv_AgV!V12,"n.d.")</f>
        <v>1</v>
      </c>
      <c r="W12" s="14">
        <f>IF(AND(ISNUMBER(Calc_AgV!W12),ISNUMBER(Conv_AgV!W12)),Calc_AgV!W12/Conv_AgV!W12,"n.d.")</f>
        <v>1</v>
      </c>
      <c r="X12" s="14">
        <f>IF(AND(ISNUMBER(Calc_AgV!X12),ISNUMBER(Conv_AgV!X12)),Calc_AgV!X12/Conv_AgV!X12,"n.d.")</f>
        <v>1</v>
      </c>
      <c r="Y12" s="14">
        <f>IF(AND(ISNUMBER(Calc_AgV!Y12),ISNUMBER(Conv_AgV!Y12)),Calc_AgV!Y12/Conv_AgV!Y12,"n.d.")</f>
        <v>1</v>
      </c>
      <c r="Z12" s="14">
        <f>IF(AND(ISNUMBER(Calc_AgV!Z12),ISNUMBER(Conv_AgV!Z12)),Calc_AgV!Z12/Conv_AgV!Z12,"n.d.")</f>
        <v>1</v>
      </c>
    </row>
    <row r="13" spans="1:26" x14ac:dyDescent="0.25">
      <c r="A13" s="13" t="str">
        <f>Calc_AgV!A13</f>
        <v>ai</v>
      </c>
      <c r="B13" s="13" t="str">
        <f>Calc_AgV!B13</f>
        <v>R8</v>
      </c>
      <c r="C13" s="14">
        <f>IF(AND(ISNUMBER(Calc_AgV!C13),ISNUMBER(Conv_AgV!C13)),Calc_AgV!C13/Conv_AgV!C13,"n.d.")</f>
        <v>1</v>
      </c>
      <c r="D13" s="14">
        <f>IF(AND(ISNUMBER(Calc_AgV!D13),ISNUMBER(Conv_AgV!D13)),Calc_AgV!D13/Conv_AgV!D13,"n.d.")</f>
        <v>1</v>
      </c>
      <c r="E13" s="14">
        <f>IF(AND(ISNUMBER(Calc_AgV!E13),ISNUMBER(Conv_AgV!E13)),Calc_AgV!E13/Conv_AgV!E13,"n.d.")</f>
        <v>1</v>
      </c>
      <c r="F13" s="14">
        <f>IF(AND(ISNUMBER(Calc_AgV!F13),ISNUMBER(Conv_AgV!F13)),Calc_AgV!F13/Conv_AgV!F13,"n.d.")</f>
        <v>1</v>
      </c>
      <c r="G13" s="14">
        <f>IF(AND(ISNUMBER(Calc_AgV!G13),ISNUMBER(Conv_AgV!G13)),Calc_AgV!G13/Conv_AgV!G13,"n.d.")</f>
        <v>1</v>
      </c>
      <c r="H13" s="14">
        <f>IF(AND(ISNUMBER(Calc_AgV!H13),ISNUMBER(Conv_AgV!H13)),Calc_AgV!H13/Conv_AgV!H13,"n.d.")</f>
        <v>1</v>
      </c>
      <c r="I13" s="14">
        <f>IF(AND(ISNUMBER(Calc_AgV!I13),ISNUMBER(Conv_AgV!I13)),Calc_AgV!I13/Conv_AgV!I13,"n.d.")</f>
        <v>1</v>
      </c>
      <c r="J13" s="14">
        <f>IF(AND(ISNUMBER(Calc_AgV!J13),ISNUMBER(Conv_AgV!J13)),Calc_AgV!J13/Conv_AgV!J13,"n.d.")</f>
        <v>1</v>
      </c>
      <c r="K13" s="14">
        <f>IF(AND(ISNUMBER(Calc_AgV!K13),ISNUMBER(Conv_AgV!K13)),Calc_AgV!K13/Conv_AgV!K13,"n.d.")</f>
        <v>1</v>
      </c>
      <c r="L13" s="14">
        <f>IF(AND(ISNUMBER(Calc_AgV!L13),ISNUMBER(Conv_AgV!L13)),Calc_AgV!L13/Conv_AgV!L13,"n.d.")</f>
        <v>1</v>
      </c>
      <c r="M13" s="14">
        <f>IF(AND(ISNUMBER(Calc_AgV!M13),ISNUMBER(Conv_AgV!M13)),Calc_AgV!M13/Conv_AgV!M13,"n.d.")</f>
        <v>1</v>
      </c>
      <c r="N13" s="14">
        <f>IF(AND(ISNUMBER(Calc_AgV!N13),ISNUMBER(Conv_AgV!N13)),Calc_AgV!N13/Conv_AgV!N13,"n.d.")</f>
        <v>1</v>
      </c>
      <c r="O13" s="14">
        <f>IF(AND(ISNUMBER(Calc_AgV!O13),ISNUMBER(Conv_AgV!O13)),Calc_AgV!O13/Conv_AgV!O13,"n.d.")</f>
        <v>1</v>
      </c>
      <c r="P13" s="14">
        <f>IF(AND(ISNUMBER(Calc_AgV!P13),ISNUMBER(Conv_AgV!P13)),Calc_AgV!P13/Conv_AgV!P13,"n.d.")</f>
        <v>1</v>
      </c>
      <c r="Q13" s="14">
        <f>IF(AND(ISNUMBER(Calc_AgV!Q13),ISNUMBER(Conv_AgV!Q13)),Calc_AgV!Q13/Conv_AgV!Q13,"n.d.")</f>
        <v>1</v>
      </c>
      <c r="R13" s="14">
        <f>IF(AND(ISNUMBER(Calc_AgV!R13),ISNUMBER(Conv_AgV!R13)),Calc_AgV!R13/Conv_AgV!R13,"n.d.")</f>
        <v>1</v>
      </c>
      <c r="S13" s="14">
        <f>IF(AND(ISNUMBER(Calc_AgV!S13),ISNUMBER(Conv_AgV!S13)),Calc_AgV!S13/Conv_AgV!S13,"n.d.")</f>
        <v>1</v>
      </c>
      <c r="T13" s="14">
        <f>IF(AND(ISNUMBER(Calc_AgV!T13),ISNUMBER(Conv_AgV!T13)),Calc_AgV!T13/Conv_AgV!T13,"n.d.")</f>
        <v>1</v>
      </c>
      <c r="U13" s="14">
        <f>IF(AND(ISNUMBER(Calc_AgV!U13),ISNUMBER(Conv_AgV!U13)),Calc_AgV!U13/Conv_AgV!U13,"n.d.")</f>
        <v>1</v>
      </c>
      <c r="V13" s="14">
        <f>IF(AND(ISNUMBER(Calc_AgV!V13),ISNUMBER(Conv_AgV!V13)),Calc_AgV!V13/Conv_AgV!V13,"n.d.")</f>
        <v>1</v>
      </c>
      <c r="W13" s="14">
        <f>IF(AND(ISNUMBER(Calc_AgV!W13),ISNUMBER(Conv_AgV!W13)),Calc_AgV!W13/Conv_AgV!W13,"n.d.")</f>
        <v>1</v>
      </c>
      <c r="X13" s="14">
        <f>IF(AND(ISNUMBER(Calc_AgV!X13),ISNUMBER(Conv_AgV!X13)),Calc_AgV!X13/Conv_AgV!X13,"n.d.")</f>
        <v>1</v>
      </c>
      <c r="Y13" s="14">
        <f>IF(AND(ISNUMBER(Calc_AgV!Y13),ISNUMBER(Conv_AgV!Y13)),Calc_AgV!Y13/Conv_AgV!Y13,"n.d.")</f>
        <v>1</v>
      </c>
      <c r="Z13" s="14">
        <f>IF(AND(ISNUMBER(Calc_AgV!Z13),ISNUMBER(Conv_AgV!Z13)),Calc_AgV!Z13/Conv_AgV!Z13,"n.d.")</f>
        <v>1</v>
      </c>
    </row>
    <row r="14" spans="1:26" x14ac:dyDescent="0.25">
      <c r="A14" s="13" t="str">
        <f>Calc_AgV!A14</f>
        <v>aj</v>
      </c>
      <c r="B14" s="13" t="str">
        <f>Calc_AgV!B14</f>
        <v>R9</v>
      </c>
      <c r="C14" s="14">
        <f>IF(AND(ISNUMBER(Calc_AgV!C14),ISNUMBER(Conv_AgV!C14)),Calc_AgV!C14/Conv_AgV!C14,"n.d.")</f>
        <v>1</v>
      </c>
      <c r="D14" s="14">
        <f>IF(AND(ISNUMBER(Calc_AgV!D14),ISNUMBER(Conv_AgV!D14)),Calc_AgV!D14/Conv_AgV!D14,"n.d.")</f>
        <v>1</v>
      </c>
      <c r="E14" s="14">
        <f>IF(AND(ISNUMBER(Calc_AgV!E14),ISNUMBER(Conv_AgV!E14)),Calc_AgV!E14/Conv_AgV!E14,"n.d.")</f>
        <v>1</v>
      </c>
      <c r="F14" s="14">
        <f>IF(AND(ISNUMBER(Calc_AgV!F14),ISNUMBER(Conv_AgV!F14)),Calc_AgV!F14/Conv_AgV!F14,"n.d.")</f>
        <v>1</v>
      </c>
      <c r="G14" s="14">
        <f>IF(AND(ISNUMBER(Calc_AgV!G14),ISNUMBER(Conv_AgV!G14)),Calc_AgV!G14/Conv_AgV!G14,"n.d.")</f>
        <v>1</v>
      </c>
      <c r="H14" s="14">
        <f>IF(AND(ISNUMBER(Calc_AgV!H14),ISNUMBER(Conv_AgV!H14)),Calc_AgV!H14/Conv_AgV!H14,"n.d.")</f>
        <v>1</v>
      </c>
      <c r="I14" s="14">
        <f>IF(AND(ISNUMBER(Calc_AgV!I14),ISNUMBER(Conv_AgV!I14)),Calc_AgV!I14/Conv_AgV!I14,"n.d.")</f>
        <v>1</v>
      </c>
      <c r="J14" s="14">
        <f>IF(AND(ISNUMBER(Calc_AgV!J14),ISNUMBER(Conv_AgV!J14)),Calc_AgV!J14/Conv_AgV!J14,"n.d.")</f>
        <v>1</v>
      </c>
      <c r="K14" s="14">
        <f>IF(AND(ISNUMBER(Calc_AgV!K14),ISNUMBER(Conv_AgV!K14)),Calc_AgV!K14/Conv_AgV!K14,"n.d.")</f>
        <v>1</v>
      </c>
      <c r="L14" s="14">
        <f>IF(AND(ISNUMBER(Calc_AgV!L14),ISNUMBER(Conv_AgV!L14)),Calc_AgV!L14/Conv_AgV!L14,"n.d.")</f>
        <v>1</v>
      </c>
      <c r="M14" s="14">
        <f>IF(AND(ISNUMBER(Calc_AgV!M14),ISNUMBER(Conv_AgV!M14)),Calc_AgV!M14/Conv_AgV!M14,"n.d.")</f>
        <v>1</v>
      </c>
      <c r="N14" s="14">
        <f>IF(AND(ISNUMBER(Calc_AgV!N14),ISNUMBER(Conv_AgV!N14)),Calc_AgV!N14/Conv_AgV!N14,"n.d.")</f>
        <v>1</v>
      </c>
      <c r="O14" s="14">
        <f>IF(AND(ISNUMBER(Calc_AgV!O14),ISNUMBER(Conv_AgV!O14)),Calc_AgV!O14/Conv_AgV!O14,"n.d.")</f>
        <v>1</v>
      </c>
      <c r="P14" s="14">
        <f>IF(AND(ISNUMBER(Calc_AgV!P14),ISNUMBER(Conv_AgV!P14)),Calc_AgV!P14/Conv_AgV!P14,"n.d.")</f>
        <v>1</v>
      </c>
      <c r="Q14" s="14">
        <f>IF(AND(ISNUMBER(Calc_AgV!Q14),ISNUMBER(Conv_AgV!Q14)),Calc_AgV!Q14/Conv_AgV!Q14,"n.d.")</f>
        <v>1</v>
      </c>
      <c r="R14" s="14">
        <f>IF(AND(ISNUMBER(Calc_AgV!R14),ISNUMBER(Conv_AgV!R14)),Calc_AgV!R14/Conv_AgV!R14,"n.d.")</f>
        <v>1</v>
      </c>
      <c r="S14" s="14">
        <f>IF(AND(ISNUMBER(Calc_AgV!S14),ISNUMBER(Conv_AgV!S14)),Calc_AgV!S14/Conv_AgV!S14,"n.d.")</f>
        <v>1</v>
      </c>
      <c r="T14" s="14">
        <f>IF(AND(ISNUMBER(Calc_AgV!T14),ISNUMBER(Conv_AgV!T14)),Calc_AgV!T14/Conv_AgV!T14,"n.d.")</f>
        <v>1</v>
      </c>
      <c r="U14" s="14">
        <f>IF(AND(ISNUMBER(Calc_AgV!U14),ISNUMBER(Conv_AgV!U14)),Calc_AgV!U14/Conv_AgV!U14,"n.d.")</f>
        <v>1</v>
      </c>
      <c r="V14" s="14">
        <f>IF(AND(ISNUMBER(Calc_AgV!V14),ISNUMBER(Conv_AgV!V14)),Calc_AgV!V14/Conv_AgV!V14,"n.d.")</f>
        <v>1</v>
      </c>
      <c r="W14" s="14">
        <f>IF(AND(ISNUMBER(Calc_AgV!W14),ISNUMBER(Conv_AgV!W14)),Calc_AgV!W14/Conv_AgV!W14,"n.d.")</f>
        <v>1</v>
      </c>
      <c r="X14" s="14">
        <f>IF(AND(ISNUMBER(Calc_AgV!X14),ISNUMBER(Conv_AgV!X14)),Calc_AgV!X14/Conv_AgV!X14,"n.d.")</f>
        <v>0.99999999999999978</v>
      </c>
      <c r="Y14" s="14">
        <f>IF(AND(ISNUMBER(Calc_AgV!Y14),ISNUMBER(Conv_AgV!Y14)),Calc_AgV!Y14/Conv_AgV!Y14,"n.d.")</f>
        <v>1</v>
      </c>
      <c r="Z14" s="14">
        <f>IF(AND(ISNUMBER(Calc_AgV!Z14),ISNUMBER(Conv_AgV!Z14)),Calc_AgV!Z14/Conv_AgV!Z14,"n.d.")</f>
        <v>1</v>
      </c>
    </row>
    <row r="15" spans="1:26" x14ac:dyDescent="0.25">
      <c r="A15" s="13" t="str">
        <f>Calc_AgV!A15</f>
        <v>ak</v>
      </c>
      <c r="B15" s="13" t="str">
        <f>Calc_AgV!B15</f>
        <v>R10</v>
      </c>
      <c r="C15" s="14">
        <f>IF(AND(ISNUMBER(Calc_AgV!C15),ISNUMBER(Conv_AgV!C15)),Calc_AgV!C15/Conv_AgV!C15,"n.d.")</f>
        <v>1</v>
      </c>
      <c r="D15" s="14">
        <f>IF(AND(ISNUMBER(Calc_AgV!D15),ISNUMBER(Conv_AgV!D15)),Calc_AgV!D15/Conv_AgV!D15,"n.d.")</f>
        <v>1</v>
      </c>
      <c r="E15" s="14">
        <f>IF(AND(ISNUMBER(Calc_AgV!E15),ISNUMBER(Conv_AgV!E15)),Calc_AgV!E15/Conv_AgV!E15,"n.d.")</f>
        <v>1</v>
      </c>
      <c r="F15" s="14">
        <f>IF(AND(ISNUMBER(Calc_AgV!F15),ISNUMBER(Conv_AgV!F15)),Calc_AgV!F15/Conv_AgV!F15,"n.d.")</f>
        <v>1</v>
      </c>
      <c r="G15" s="14">
        <f>IF(AND(ISNUMBER(Calc_AgV!G15),ISNUMBER(Conv_AgV!G15)),Calc_AgV!G15/Conv_AgV!G15,"n.d.")</f>
        <v>1</v>
      </c>
      <c r="H15" s="14">
        <f>IF(AND(ISNUMBER(Calc_AgV!H15),ISNUMBER(Conv_AgV!H15)),Calc_AgV!H15/Conv_AgV!H15,"n.d.")</f>
        <v>1</v>
      </c>
      <c r="I15" s="14">
        <f>IF(AND(ISNUMBER(Calc_AgV!I15),ISNUMBER(Conv_AgV!I15)),Calc_AgV!I15/Conv_AgV!I15,"n.d.")</f>
        <v>1</v>
      </c>
      <c r="J15" s="14">
        <f>IF(AND(ISNUMBER(Calc_AgV!J15),ISNUMBER(Conv_AgV!J15)),Calc_AgV!J15/Conv_AgV!J15,"n.d.")</f>
        <v>1</v>
      </c>
      <c r="K15" s="14">
        <f>IF(AND(ISNUMBER(Calc_AgV!K15),ISNUMBER(Conv_AgV!K15)),Calc_AgV!K15/Conv_AgV!K15,"n.d.")</f>
        <v>1</v>
      </c>
      <c r="L15" s="14">
        <f>IF(AND(ISNUMBER(Calc_AgV!L15),ISNUMBER(Conv_AgV!L15)),Calc_AgV!L15/Conv_AgV!L15,"n.d.")</f>
        <v>1</v>
      </c>
      <c r="M15" s="14">
        <f>IF(AND(ISNUMBER(Calc_AgV!M15),ISNUMBER(Conv_AgV!M15)),Calc_AgV!M15/Conv_AgV!M15,"n.d.")</f>
        <v>1</v>
      </c>
      <c r="N15" s="14">
        <f>IF(AND(ISNUMBER(Calc_AgV!N15),ISNUMBER(Conv_AgV!N15)),Calc_AgV!N15/Conv_AgV!N15,"n.d.")</f>
        <v>1</v>
      </c>
      <c r="O15" s="14">
        <f>IF(AND(ISNUMBER(Calc_AgV!O15),ISNUMBER(Conv_AgV!O15)),Calc_AgV!O15/Conv_AgV!O15,"n.d.")</f>
        <v>1</v>
      </c>
      <c r="P15" s="14">
        <f>IF(AND(ISNUMBER(Calc_AgV!P15),ISNUMBER(Conv_AgV!P15)),Calc_AgV!P15/Conv_AgV!P15,"n.d.")</f>
        <v>1</v>
      </c>
      <c r="Q15" s="14">
        <f>IF(AND(ISNUMBER(Calc_AgV!Q15),ISNUMBER(Conv_AgV!Q15)),Calc_AgV!Q15/Conv_AgV!Q15,"n.d.")</f>
        <v>1</v>
      </c>
      <c r="R15" s="14">
        <f>IF(AND(ISNUMBER(Calc_AgV!R15),ISNUMBER(Conv_AgV!R15)),Calc_AgV!R15/Conv_AgV!R15,"n.d.")</f>
        <v>1</v>
      </c>
      <c r="S15" s="14">
        <f>IF(AND(ISNUMBER(Calc_AgV!S15),ISNUMBER(Conv_AgV!S15)),Calc_AgV!S15/Conv_AgV!S15,"n.d.")</f>
        <v>1</v>
      </c>
      <c r="T15" s="14">
        <f>IF(AND(ISNUMBER(Calc_AgV!T15),ISNUMBER(Conv_AgV!T15)),Calc_AgV!T15/Conv_AgV!T15,"n.d.")</f>
        <v>1</v>
      </c>
      <c r="U15" s="14">
        <f>IF(AND(ISNUMBER(Calc_AgV!U15),ISNUMBER(Conv_AgV!U15)),Calc_AgV!U15/Conv_AgV!U15,"n.d.")</f>
        <v>1</v>
      </c>
      <c r="V15" s="14">
        <f>IF(AND(ISNUMBER(Calc_AgV!V15),ISNUMBER(Conv_AgV!V15)),Calc_AgV!V15/Conv_AgV!V15,"n.d.")</f>
        <v>1</v>
      </c>
      <c r="W15" s="14">
        <f>IF(AND(ISNUMBER(Calc_AgV!W15),ISNUMBER(Conv_AgV!W15)),Calc_AgV!W15/Conv_AgV!W15,"n.d.")</f>
        <v>1</v>
      </c>
      <c r="X15" s="14">
        <f>IF(AND(ISNUMBER(Calc_AgV!X15),ISNUMBER(Conv_AgV!X15)),Calc_AgV!X15/Conv_AgV!X15,"n.d.")</f>
        <v>1</v>
      </c>
      <c r="Y15" s="14">
        <f>IF(AND(ISNUMBER(Calc_AgV!Y15),ISNUMBER(Conv_AgV!Y15)),Calc_AgV!Y15/Conv_AgV!Y15,"n.d.")</f>
        <v>1</v>
      </c>
      <c r="Z15" s="14">
        <f>IF(AND(ISNUMBER(Calc_AgV!Z15),ISNUMBER(Conv_AgV!Z15)),Calc_AgV!Z15/Conv_AgV!Z15,"n.d.")</f>
        <v>1</v>
      </c>
    </row>
    <row r="16" spans="1:26" x14ac:dyDescent="0.25">
      <c r="A16" s="13" t="str">
        <f>Calc_AgV!A16</f>
        <v>al</v>
      </c>
      <c r="B16" s="13" t="str">
        <f>Calc_AgV!B16</f>
        <v>R11</v>
      </c>
      <c r="C16" s="14">
        <f>IF(AND(ISNUMBER(Calc_AgV!C16),ISNUMBER(Conv_AgV!C16)),Calc_AgV!C16/Conv_AgV!C16,"n.d.")</f>
        <v>1</v>
      </c>
      <c r="D16" s="14">
        <f>IF(AND(ISNUMBER(Calc_AgV!D16),ISNUMBER(Conv_AgV!D16)),Calc_AgV!D16/Conv_AgV!D16,"n.d.")</f>
        <v>1</v>
      </c>
      <c r="E16" s="14">
        <f>IF(AND(ISNUMBER(Calc_AgV!E16),ISNUMBER(Conv_AgV!E16)),Calc_AgV!E16/Conv_AgV!E16,"n.d.")</f>
        <v>1</v>
      </c>
      <c r="F16" s="14">
        <f>IF(AND(ISNUMBER(Calc_AgV!F16),ISNUMBER(Conv_AgV!F16)),Calc_AgV!F16/Conv_AgV!F16,"n.d.")</f>
        <v>1</v>
      </c>
      <c r="G16" s="14">
        <f>IF(AND(ISNUMBER(Calc_AgV!G16),ISNUMBER(Conv_AgV!G16)),Calc_AgV!G16/Conv_AgV!G16,"n.d.")</f>
        <v>1</v>
      </c>
      <c r="H16" s="14">
        <f>IF(AND(ISNUMBER(Calc_AgV!H16),ISNUMBER(Conv_AgV!H16)),Calc_AgV!H16/Conv_AgV!H16,"n.d.")</f>
        <v>1</v>
      </c>
      <c r="I16" s="14">
        <f>IF(AND(ISNUMBER(Calc_AgV!I16),ISNUMBER(Conv_AgV!I16)),Calc_AgV!I16/Conv_AgV!I16,"n.d.")</f>
        <v>1</v>
      </c>
      <c r="J16" s="14">
        <f>IF(AND(ISNUMBER(Calc_AgV!J16),ISNUMBER(Conv_AgV!J16)),Calc_AgV!J16/Conv_AgV!J16,"n.d.")</f>
        <v>1</v>
      </c>
      <c r="K16" s="14">
        <f>IF(AND(ISNUMBER(Calc_AgV!K16),ISNUMBER(Conv_AgV!K16)),Calc_AgV!K16/Conv_AgV!K16,"n.d.")</f>
        <v>1</v>
      </c>
      <c r="L16" s="14">
        <f>IF(AND(ISNUMBER(Calc_AgV!L16),ISNUMBER(Conv_AgV!L16)),Calc_AgV!L16/Conv_AgV!L16,"n.d.")</f>
        <v>1</v>
      </c>
      <c r="M16" s="14">
        <f>IF(AND(ISNUMBER(Calc_AgV!M16),ISNUMBER(Conv_AgV!M16)),Calc_AgV!M16/Conv_AgV!M16,"n.d.")</f>
        <v>1</v>
      </c>
      <c r="N16" s="14">
        <f>IF(AND(ISNUMBER(Calc_AgV!N16),ISNUMBER(Conv_AgV!N16)),Calc_AgV!N16/Conv_AgV!N16,"n.d.")</f>
        <v>1</v>
      </c>
      <c r="O16" s="14">
        <f>IF(AND(ISNUMBER(Calc_AgV!O16),ISNUMBER(Conv_AgV!O16)),Calc_AgV!O16/Conv_AgV!O16,"n.d.")</f>
        <v>1</v>
      </c>
      <c r="P16" s="14">
        <f>IF(AND(ISNUMBER(Calc_AgV!P16),ISNUMBER(Conv_AgV!P16)),Calc_AgV!P16/Conv_AgV!P16,"n.d.")</f>
        <v>1</v>
      </c>
      <c r="Q16" s="14">
        <f>IF(AND(ISNUMBER(Calc_AgV!Q16),ISNUMBER(Conv_AgV!Q16)),Calc_AgV!Q16/Conv_AgV!Q16,"n.d.")</f>
        <v>1</v>
      </c>
      <c r="R16" s="14">
        <f>IF(AND(ISNUMBER(Calc_AgV!R16),ISNUMBER(Conv_AgV!R16)),Calc_AgV!R16/Conv_AgV!R16,"n.d.")</f>
        <v>1</v>
      </c>
      <c r="S16" s="14">
        <f>IF(AND(ISNUMBER(Calc_AgV!S16),ISNUMBER(Conv_AgV!S16)),Calc_AgV!S16/Conv_AgV!S16,"n.d.")</f>
        <v>1</v>
      </c>
      <c r="T16" s="14">
        <f>IF(AND(ISNUMBER(Calc_AgV!T16),ISNUMBER(Conv_AgV!T16)),Calc_AgV!T16/Conv_AgV!T16,"n.d.")</f>
        <v>1</v>
      </c>
      <c r="U16" s="14">
        <f>IF(AND(ISNUMBER(Calc_AgV!U16),ISNUMBER(Conv_AgV!U16)),Calc_AgV!U16/Conv_AgV!U16,"n.d.")</f>
        <v>1</v>
      </c>
      <c r="V16" s="14">
        <f>IF(AND(ISNUMBER(Calc_AgV!V16),ISNUMBER(Conv_AgV!V16)),Calc_AgV!V16/Conv_AgV!V16,"n.d.")</f>
        <v>1</v>
      </c>
      <c r="W16" s="14">
        <f>IF(AND(ISNUMBER(Calc_AgV!W16),ISNUMBER(Conv_AgV!W16)),Calc_AgV!W16/Conv_AgV!W16,"n.d.")</f>
        <v>1</v>
      </c>
      <c r="X16" s="14">
        <f>IF(AND(ISNUMBER(Calc_AgV!X16),ISNUMBER(Conv_AgV!X16)),Calc_AgV!X16/Conv_AgV!X16,"n.d.")</f>
        <v>1</v>
      </c>
      <c r="Y16" s="14">
        <f>IF(AND(ISNUMBER(Calc_AgV!Y16),ISNUMBER(Conv_AgV!Y16)),Calc_AgV!Y16/Conv_AgV!Y16,"n.d.")</f>
        <v>1</v>
      </c>
      <c r="Z16" s="14">
        <f>IF(AND(ISNUMBER(Calc_AgV!Z16),ISNUMBER(Conv_AgV!Z16)),Calc_AgV!Z16/Conv_AgV!Z16,"n.d.")</f>
        <v>1</v>
      </c>
    </row>
  </sheetData>
  <mergeCells count="12">
    <mergeCell ref="M3:N3"/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Y3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6" customWidth="1"/>
  </cols>
  <sheetData>
    <row r="1" spans="1:24" ht="15.75" x14ac:dyDescent="0.25">
      <c r="A1" s="11" t="s">
        <v>64</v>
      </c>
    </row>
    <row r="3" spans="1:24" x14ac:dyDescent="0.25">
      <c r="A3" s="12"/>
      <c r="B3" s="12"/>
      <c r="C3" s="20" t="s">
        <v>44</v>
      </c>
      <c r="D3" s="20"/>
      <c r="E3" s="20" t="s">
        <v>45</v>
      </c>
      <c r="F3" s="20"/>
      <c r="G3" s="20" t="s">
        <v>46</v>
      </c>
      <c r="H3" s="20"/>
      <c r="I3" s="20" t="s">
        <v>47</v>
      </c>
      <c r="J3" s="20"/>
      <c r="K3" s="20" t="s">
        <v>48</v>
      </c>
      <c r="L3" s="20"/>
      <c r="M3" s="20" t="s">
        <v>49</v>
      </c>
      <c r="N3" s="20"/>
      <c r="O3" s="20" t="s">
        <v>50</v>
      </c>
      <c r="P3" s="20"/>
      <c r="Q3" s="20" t="s">
        <v>51</v>
      </c>
      <c r="R3" s="20"/>
      <c r="S3" s="20" t="s">
        <v>52</v>
      </c>
      <c r="T3" s="20"/>
      <c r="U3" s="20" t="s">
        <v>53</v>
      </c>
      <c r="V3" s="20"/>
      <c r="W3" s="20" t="s">
        <v>57</v>
      </c>
      <c r="X3" s="20"/>
    </row>
    <row r="4" spans="1:24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62</v>
      </c>
      <c r="F4" s="12" t="s">
        <v>63</v>
      </c>
      <c r="G4" s="12" t="s">
        <v>62</v>
      </c>
      <c r="H4" s="12" t="s">
        <v>63</v>
      </c>
      <c r="I4" s="12" t="s">
        <v>62</v>
      </c>
      <c r="J4" s="12" t="s">
        <v>63</v>
      </c>
      <c r="K4" s="12" t="s">
        <v>62</v>
      </c>
      <c r="L4" s="12" t="s">
        <v>63</v>
      </c>
      <c r="M4" s="12" t="s">
        <v>62</v>
      </c>
      <c r="N4" s="12" t="s">
        <v>63</v>
      </c>
      <c r="O4" s="12" t="s">
        <v>62</v>
      </c>
      <c r="P4" s="12" t="s">
        <v>63</v>
      </c>
      <c r="Q4" s="12" t="s">
        <v>62</v>
      </c>
      <c r="R4" s="12" t="s">
        <v>63</v>
      </c>
      <c r="S4" s="12" t="s">
        <v>62</v>
      </c>
      <c r="T4" s="12" t="s">
        <v>63</v>
      </c>
      <c r="U4" s="12" t="s">
        <v>62</v>
      </c>
      <c r="V4" s="12" t="s">
        <v>63</v>
      </c>
      <c r="W4" s="12" t="s">
        <v>62</v>
      </c>
      <c r="X4" s="12" t="s">
        <v>63</v>
      </c>
    </row>
    <row r="5" spans="1:24" x14ac:dyDescent="0.25">
      <c r="A5" s="13" t="s">
        <v>42</v>
      </c>
      <c r="B5" s="13"/>
      <c r="C5" s="14">
        <f>IF(AND(ISNUMBER(Calc_AuV!C5),ISNUMBER(Conv_AuV!C5)),Calc_AuV!C5/Conv_AuV!C5,"n.d.")</f>
        <v>1</v>
      </c>
      <c r="D5" s="14"/>
      <c r="E5" s="14">
        <f>IF(AND(ISNUMBER(Calc_AuV!E5),ISNUMBER(Conv_AuV!E5)),Calc_AuV!E5/Conv_AuV!E5,"n.d.")</f>
        <v>1</v>
      </c>
      <c r="F5" s="14"/>
      <c r="G5" s="14">
        <f>IF(AND(ISNUMBER(Calc_AuV!G5),ISNUMBER(Conv_AuV!G5)),Calc_AuV!G5/Conv_AuV!G5,"n.d.")</f>
        <v>1</v>
      </c>
      <c r="H5" s="14"/>
      <c r="I5" s="14">
        <f>IF(AND(ISNUMBER(Calc_AuV!I5),ISNUMBER(Conv_AuV!I5)),Calc_AuV!I5/Conv_AuV!I5,"n.d.")</f>
        <v>1</v>
      </c>
      <c r="J5" s="14"/>
      <c r="K5" s="14">
        <f>IF(AND(ISNUMBER(Calc_AuV!K5),ISNUMBER(Conv_AuV!K5)),Calc_AuV!K5/Conv_AuV!K5,"n.d.")</f>
        <v>1</v>
      </c>
      <c r="L5" s="14"/>
      <c r="M5" s="14">
        <f>IF(AND(ISNUMBER(Calc_AuV!M5),ISNUMBER(Conv_AuV!M5)),Calc_AuV!M5/Conv_AuV!M5,"n.d.")</f>
        <v>1</v>
      </c>
      <c r="N5" s="14"/>
      <c r="O5" s="14">
        <f>IF(AND(ISNUMBER(Calc_AuV!O5),ISNUMBER(Conv_AuV!O5)),Calc_AuV!O5/Conv_AuV!O5,"n.d.")</f>
        <v>1</v>
      </c>
      <c r="P5" s="14"/>
      <c r="Q5" s="14">
        <f>IF(AND(ISNUMBER(Calc_AuV!Q5),ISNUMBER(Conv_AuV!Q5)),Calc_AuV!Q5/Conv_AuV!Q5,"n.d.")</f>
        <v>1</v>
      </c>
      <c r="R5" s="14"/>
      <c r="S5" s="14">
        <f>IF(AND(ISNUMBER(Calc_AuV!S5),ISNUMBER(Conv_AuV!S5)),Calc_AuV!S5/Conv_AuV!S5,"n.d.")</f>
        <v>1</v>
      </c>
      <c r="T5" s="14"/>
      <c r="U5" s="14">
        <f>IF(AND(ISNUMBER(Calc_AuV!U5),ISNUMBER(Conv_AuV!U5)),Calc_AuV!U5/Conv_AuV!U5,"n.d.")</f>
        <v>1</v>
      </c>
      <c r="V5" s="14"/>
      <c r="W5" s="14">
        <f>IF(AND(ISNUMBER(Calc_AuV!W5),ISNUMBER(Conv_AuV!W5)),Calc_AuV!W5/Conv_AuV!W5,"n.d.")</f>
        <v>1</v>
      </c>
      <c r="X5" s="14"/>
    </row>
    <row r="6" spans="1:24" x14ac:dyDescent="0.25">
      <c r="A6" s="13" t="str">
        <f>Calc_AuV!A6</f>
        <v>ab</v>
      </c>
      <c r="B6" s="13" t="str">
        <f>Calc_AuV!B6</f>
        <v>Padrão (1573a)</v>
      </c>
      <c r="C6" s="14">
        <f>IF(AND(ISNUMBER(Calc_AuV!C6),ISNUMBER(Conv_AuV!C6)),Calc_AuV!C6/Conv_AuV!C6,"n.d.")</f>
        <v>1</v>
      </c>
      <c r="D6" s="14">
        <f>IF(AND(ISNUMBER(Calc_AuV!D6),ISNUMBER(Conv_AuV!D6)),Calc_AuV!D6/Conv_AuV!D6,"n.d.")</f>
        <v>1</v>
      </c>
      <c r="E6" s="14">
        <f>IF(AND(ISNUMBER(Calc_AuV!E6),ISNUMBER(Conv_AuV!E6)),Calc_AuV!E6/Conv_AuV!E6,"n.d.")</f>
        <v>1</v>
      </c>
      <c r="F6" s="14">
        <f>IF(AND(ISNUMBER(Calc_AuV!F6),ISNUMBER(Conv_AuV!F6)),Calc_AuV!F6/Conv_AuV!F6,"n.d.")</f>
        <v>1</v>
      </c>
      <c r="G6" s="14">
        <f>IF(AND(ISNUMBER(Calc_AuV!G6),ISNUMBER(Conv_AuV!G6)),Calc_AuV!G6/Conv_AuV!G6,"n.d.")</f>
        <v>1</v>
      </c>
      <c r="H6" s="14">
        <f>IF(AND(ISNUMBER(Calc_AuV!H6),ISNUMBER(Conv_AuV!H6)),Calc_AuV!H6/Conv_AuV!H6,"n.d.")</f>
        <v>1</v>
      </c>
      <c r="I6" s="14">
        <f>IF(AND(ISNUMBER(Calc_AuV!I6),ISNUMBER(Conv_AuV!I6)),Calc_AuV!I6/Conv_AuV!I6,"n.d.")</f>
        <v>1</v>
      </c>
      <c r="J6" s="14">
        <f>IF(AND(ISNUMBER(Calc_AuV!J6),ISNUMBER(Conv_AuV!J6)),Calc_AuV!J6/Conv_AuV!J6,"n.d.")</f>
        <v>1</v>
      </c>
      <c r="K6" s="14">
        <f>IF(AND(ISNUMBER(Calc_AuV!K6),ISNUMBER(Conv_AuV!K6)),Calc_AuV!K6/Conv_AuV!K6,"n.d.")</f>
        <v>1</v>
      </c>
      <c r="L6" s="14">
        <f>IF(AND(ISNUMBER(Calc_AuV!L6),ISNUMBER(Conv_AuV!L6)),Calc_AuV!L6/Conv_AuV!L6,"n.d.")</f>
        <v>1</v>
      </c>
      <c r="M6" s="14">
        <f>IF(AND(ISNUMBER(Calc_AuV!M6),ISNUMBER(Conv_AuV!M6)),Calc_AuV!M6/Conv_AuV!M6,"n.d.")</f>
        <v>1</v>
      </c>
      <c r="N6" s="14">
        <f>IF(AND(ISNUMBER(Calc_AuV!N6),ISNUMBER(Conv_AuV!N6)),Calc_AuV!N6/Conv_AuV!N6,"n.d.")</f>
        <v>1</v>
      </c>
      <c r="O6" s="14">
        <f>IF(AND(ISNUMBER(Calc_AuV!O6),ISNUMBER(Conv_AuV!O6)),Calc_AuV!O6/Conv_AuV!O6,"n.d.")</f>
        <v>1</v>
      </c>
      <c r="P6" s="14">
        <f>IF(AND(ISNUMBER(Calc_AuV!P6),ISNUMBER(Conv_AuV!P6)),Calc_AuV!P6/Conv_AuV!P6,"n.d.")</f>
        <v>1</v>
      </c>
      <c r="Q6" s="14">
        <f>IF(AND(ISNUMBER(Calc_AuV!Q6),ISNUMBER(Conv_AuV!Q6)),Calc_AuV!Q6/Conv_AuV!Q6,"n.d.")</f>
        <v>1</v>
      </c>
      <c r="R6" s="14">
        <f>IF(AND(ISNUMBER(Calc_AuV!R6),ISNUMBER(Conv_AuV!R6)),Calc_AuV!R6/Conv_AuV!R6,"n.d.")</f>
        <v>1</v>
      </c>
      <c r="S6" s="14">
        <f>IF(AND(ISNUMBER(Calc_AuV!S6),ISNUMBER(Conv_AuV!S6)),Calc_AuV!S6/Conv_AuV!S6,"n.d.")</f>
        <v>1</v>
      </c>
      <c r="T6" s="14">
        <f>IF(AND(ISNUMBER(Calc_AuV!T6),ISNUMBER(Conv_AuV!T6)),Calc_AuV!T6/Conv_AuV!T6,"n.d.")</f>
        <v>1</v>
      </c>
      <c r="U6" s="14">
        <f>IF(AND(ISNUMBER(Calc_AuV!U6),ISNUMBER(Conv_AuV!U6)),Calc_AuV!U6/Conv_AuV!U6,"n.d.")</f>
        <v>1</v>
      </c>
      <c r="V6" s="14">
        <f>IF(AND(ISNUMBER(Calc_AuV!V6),ISNUMBER(Conv_AuV!V6)),Calc_AuV!V6/Conv_AuV!V6,"n.d.")</f>
        <v>1</v>
      </c>
      <c r="W6" s="14">
        <f>IF(AND(ISNUMBER(Calc_AuV!W6),ISNUMBER(Conv_AuV!W6)),Calc_AuV!W6/Conv_AuV!W6,"n.d.")</f>
        <v>1</v>
      </c>
      <c r="X6" s="14">
        <f>IF(AND(ISNUMBER(Calc_AuV!X6),ISNUMBER(Conv_AuV!X6)),Calc_AuV!X6/Conv_AuV!X6,"n.d.")</f>
        <v>1</v>
      </c>
    </row>
    <row r="7" spans="1:24" x14ac:dyDescent="0.25">
      <c r="A7" s="13" t="str">
        <f>Calc_AuV!A7</f>
        <v>ac</v>
      </c>
      <c r="B7" s="13" t="str">
        <f>Calc_AuV!B7</f>
        <v>R2</v>
      </c>
      <c r="C7" s="14">
        <f>IF(AND(ISNUMBER(Calc_AuV!C7),ISNUMBER(Conv_AuV!C7)),Calc_AuV!C7/Conv_AuV!C7,"n.d.")</f>
        <v>1</v>
      </c>
      <c r="D7" s="14">
        <f>IF(AND(ISNUMBER(Calc_AuV!D7),ISNUMBER(Conv_AuV!D7)),Calc_AuV!D7/Conv_AuV!D7,"n.d.")</f>
        <v>1</v>
      </c>
      <c r="E7" s="14">
        <f>IF(AND(ISNUMBER(Calc_AuV!E7),ISNUMBER(Conv_AuV!E7)),Calc_AuV!E7/Conv_AuV!E7,"n.d.")</f>
        <v>1</v>
      </c>
      <c r="F7" s="14">
        <f>IF(AND(ISNUMBER(Calc_AuV!F7),ISNUMBER(Conv_AuV!F7)),Calc_AuV!F7/Conv_AuV!F7,"n.d.")</f>
        <v>1</v>
      </c>
      <c r="G7" s="14">
        <f>IF(AND(ISNUMBER(Calc_AuV!G7),ISNUMBER(Conv_AuV!G7)),Calc_AuV!G7/Conv_AuV!G7,"n.d.")</f>
        <v>1</v>
      </c>
      <c r="H7" s="14">
        <f>IF(AND(ISNUMBER(Calc_AuV!H7),ISNUMBER(Conv_AuV!H7)),Calc_AuV!H7/Conv_AuV!H7,"n.d.")</f>
        <v>1</v>
      </c>
      <c r="I7" s="14">
        <f>IF(AND(ISNUMBER(Calc_AuV!I7),ISNUMBER(Conv_AuV!I7)),Calc_AuV!I7/Conv_AuV!I7,"n.d.")</f>
        <v>1</v>
      </c>
      <c r="J7" s="14">
        <f>IF(AND(ISNUMBER(Calc_AuV!J7),ISNUMBER(Conv_AuV!J7)),Calc_AuV!J7/Conv_AuV!J7,"n.d.")</f>
        <v>1</v>
      </c>
      <c r="K7" s="14">
        <f>IF(AND(ISNUMBER(Calc_AuV!K7),ISNUMBER(Conv_AuV!K7)),Calc_AuV!K7/Conv_AuV!K7,"n.d.")</f>
        <v>1</v>
      </c>
      <c r="L7" s="14">
        <f>IF(AND(ISNUMBER(Calc_AuV!L7),ISNUMBER(Conv_AuV!L7)),Calc_AuV!L7/Conv_AuV!L7,"n.d.")</f>
        <v>1</v>
      </c>
      <c r="M7" s="14">
        <f>IF(AND(ISNUMBER(Calc_AuV!M7),ISNUMBER(Conv_AuV!M7)),Calc_AuV!M7/Conv_AuV!M7,"n.d.")</f>
        <v>1</v>
      </c>
      <c r="N7" s="14">
        <f>IF(AND(ISNUMBER(Calc_AuV!N7),ISNUMBER(Conv_AuV!N7)),Calc_AuV!N7/Conv_AuV!N7,"n.d.")</f>
        <v>1</v>
      </c>
      <c r="O7" s="14">
        <f>IF(AND(ISNUMBER(Calc_AuV!O7),ISNUMBER(Conv_AuV!O7)),Calc_AuV!O7/Conv_AuV!O7,"n.d.")</f>
        <v>1</v>
      </c>
      <c r="P7" s="14">
        <f>IF(AND(ISNUMBER(Calc_AuV!P7),ISNUMBER(Conv_AuV!P7)),Calc_AuV!P7/Conv_AuV!P7,"n.d.")</f>
        <v>1</v>
      </c>
      <c r="Q7" s="14">
        <f>IF(AND(ISNUMBER(Calc_AuV!Q7),ISNUMBER(Conv_AuV!Q7)),Calc_AuV!Q7/Conv_AuV!Q7,"n.d.")</f>
        <v>1</v>
      </c>
      <c r="R7" s="14">
        <f>IF(AND(ISNUMBER(Calc_AuV!R7),ISNUMBER(Conv_AuV!R7)),Calc_AuV!R7/Conv_AuV!R7,"n.d.")</f>
        <v>1</v>
      </c>
      <c r="S7" s="14">
        <f>IF(AND(ISNUMBER(Calc_AuV!S7),ISNUMBER(Conv_AuV!S7)),Calc_AuV!S7/Conv_AuV!S7,"n.d.")</f>
        <v>1</v>
      </c>
      <c r="T7" s="14">
        <f>IF(AND(ISNUMBER(Calc_AuV!T7),ISNUMBER(Conv_AuV!T7)),Calc_AuV!T7/Conv_AuV!T7,"n.d.")</f>
        <v>1</v>
      </c>
      <c r="U7" s="14">
        <f>IF(AND(ISNUMBER(Calc_AuV!U7),ISNUMBER(Conv_AuV!U7)),Calc_AuV!U7/Conv_AuV!U7,"n.d.")</f>
        <v>1</v>
      </c>
      <c r="V7" s="14">
        <f>IF(AND(ISNUMBER(Calc_AuV!V7),ISNUMBER(Conv_AuV!V7)),Calc_AuV!V7/Conv_AuV!V7,"n.d.")</f>
        <v>1</v>
      </c>
      <c r="W7" s="14">
        <f>IF(AND(ISNUMBER(Calc_AuV!W7),ISNUMBER(Conv_AuV!W7)),Calc_AuV!W7/Conv_AuV!W7,"n.d.")</f>
        <v>1</v>
      </c>
      <c r="X7" s="14">
        <f>IF(AND(ISNUMBER(Calc_AuV!X7),ISNUMBER(Conv_AuV!X7)),Calc_AuV!X7/Conv_AuV!X7,"n.d.")</f>
        <v>1</v>
      </c>
    </row>
    <row r="8" spans="1:24" x14ac:dyDescent="0.25">
      <c r="A8" s="13" t="str">
        <f>Calc_AuV!A8</f>
        <v>ad</v>
      </c>
      <c r="B8" s="13" t="str">
        <f>Calc_AuV!B8</f>
        <v>R3</v>
      </c>
      <c r="C8" s="14">
        <f>IF(AND(ISNUMBER(Calc_AuV!C8),ISNUMBER(Conv_AuV!C8)),Calc_AuV!C8/Conv_AuV!C8,"n.d.")</f>
        <v>1</v>
      </c>
      <c r="D8" s="14">
        <f>IF(AND(ISNUMBER(Calc_AuV!D8),ISNUMBER(Conv_AuV!D8)),Calc_AuV!D8/Conv_AuV!D8,"n.d.")</f>
        <v>1</v>
      </c>
      <c r="E8" s="14">
        <f>IF(AND(ISNUMBER(Calc_AuV!E8),ISNUMBER(Conv_AuV!E8)),Calc_AuV!E8/Conv_AuV!E8,"n.d.")</f>
        <v>1</v>
      </c>
      <c r="F8" s="14">
        <f>IF(AND(ISNUMBER(Calc_AuV!F8),ISNUMBER(Conv_AuV!F8)),Calc_AuV!F8/Conv_AuV!F8,"n.d.")</f>
        <v>1</v>
      </c>
      <c r="G8" s="14">
        <f>IF(AND(ISNUMBER(Calc_AuV!G8),ISNUMBER(Conv_AuV!G8)),Calc_AuV!G8/Conv_AuV!G8,"n.d.")</f>
        <v>1</v>
      </c>
      <c r="H8" s="14">
        <f>IF(AND(ISNUMBER(Calc_AuV!H8),ISNUMBER(Conv_AuV!H8)),Calc_AuV!H8/Conv_AuV!H8,"n.d.")</f>
        <v>1</v>
      </c>
      <c r="I8" s="14">
        <f>IF(AND(ISNUMBER(Calc_AuV!I8),ISNUMBER(Conv_AuV!I8)),Calc_AuV!I8/Conv_AuV!I8,"n.d.")</f>
        <v>1</v>
      </c>
      <c r="J8" s="14">
        <f>IF(AND(ISNUMBER(Calc_AuV!J8),ISNUMBER(Conv_AuV!J8)),Calc_AuV!J8/Conv_AuV!J8,"n.d.")</f>
        <v>1</v>
      </c>
      <c r="K8" s="14">
        <f>IF(AND(ISNUMBER(Calc_AuV!K8),ISNUMBER(Conv_AuV!K8)),Calc_AuV!K8/Conv_AuV!K8,"n.d.")</f>
        <v>1</v>
      </c>
      <c r="L8" s="14">
        <f>IF(AND(ISNUMBER(Calc_AuV!L8),ISNUMBER(Conv_AuV!L8)),Calc_AuV!L8/Conv_AuV!L8,"n.d.")</f>
        <v>1</v>
      </c>
      <c r="M8" s="14">
        <f>IF(AND(ISNUMBER(Calc_AuV!M8),ISNUMBER(Conv_AuV!M8)),Calc_AuV!M8/Conv_AuV!M8,"n.d.")</f>
        <v>1</v>
      </c>
      <c r="N8" s="14">
        <f>IF(AND(ISNUMBER(Calc_AuV!N8),ISNUMBER(Conv_AuV!N8)),Calc_AuV!N8/Conv_AuV!N8,"n.d.")</f>
        <v>1</v>
      </c>
      <c r="O8" s="14">
        <f>IF(AND(ISNUMBER(Calc_AuV!O8),ISNUMBER(Conv_AuV!O8)),Calc_AuV!O8/Conv_AuV!O8,"n.d.")</f>
        <v>1</v>
      </c>
      <c r="P8" s="14">
        <f>IF(AND(ISNUMBER(Calc_AuV!P8),ISNUMBER(Conv_AuV!P8)),Calc_AuV!P8/Conv_AuV!P8,"n.d.")</f>
        <v>1</v>
      </c>
      <c r="Q8" s="14">
        <f>IF(AND(ISNUMBER(Calc_AuV!Q8),ISNUMBER(Conv_AuV!Q8)),Calc_AuV!Q8/Conv_AuV!Q8,"n.d.")</f>
        <v>1</v>
      </c>
      <c r="R8" s="14">
        <f>IF(AND(ISNUMBER(Calc_AuV!R8),ISNUMBER(Conv_AuV!R8)),Calc_AuV!R8/Conv_AuV!R8,"n.d.")</f>
        <v>1</v>
      </c>
      <c r="S8" s="14">
        <f>IF(AND(ISNUMBER(Calc_AuV!S8),ISNUMBER(Conv_AuV!S8)),Calc_AuV!S8/Conv_AuV!S8,"n.d.")</f>
        <v>1</v>
      </c>
      <c r="T8" s="14">
        <f>IF(AND(ISNUMBER(Calc_AuV!T8),ISNUMBER(Conv_AuV!T8)),Calc_AuV!T8/Conv_AuV!T8,"n.d.")</f>
        <v>1</v>
      </c>
      <c r="U8" s="14">
        <f>IF(AND(ISNUMBER(Calc_AuV!U8),ISNUMBER(Conv_AuV!U8)),Calc_AuV!U8/Conv_AuV!U8,"n.d.")</f>
        <v>1</v>
      </c>
      <c r="V8" s="14">
        <f>IF(AND(ISNUMBER(Calc_AuV!V8),ISNUMBER(Conv_AuV!V8)),Calc_AuV!V8/Conv_AuV!V8,"n.d.")</f>
        <v>1</v>
      </c>
      <c r="W8" s="14">
        <f>IF(AND(ISNUMBER(Calc_AuV!W8),ISNUMBER(Conv_AuV!W8)),Calc_AuV!W8/Conv_AuV!W8,"n.d.")</f>
        <v>1</v>
      </c>
      <c r="X8" s="14">
        <f>IF(AND(ISNUMBER(Calc_AuV!X8),ISNUMBER(Conv_AuV!X8)),Calc_AuV!X8/Conv_AuV!X8,"n.d.")</f>
        <v>1</v>
      </c>
    </row>
    <row r="9" spans="1:24" x14ac:dyDescent="0.25">
      <c r="A9" s="13" t="str">
        <f>Calc_AuV!A9</f>
        <v>ae</v>
      </c>
      <c r="B9" s="13" t="str">
        <f>Calc_AuV!B9</f>
        <v>R4</v>
      </c>
      <c r="C9" s="14">
        <f>IF(AND(ISNUMBER(Calc_AuV!C9),ISNUMBER(Conv_AuV!C9)),Calc_AuV!C9/Conv_AuV!C9,"n.d.")</f>
        <v>1</v>
      </c>
      <c r="D9" s="14">
        <f>IF(AND(ISNUMBER(Calc_AuV!D9),ISNUMBER(Conv_AuV!D9)),Calc_AuV!D9/Conv_AuV!D9,"n.d.")</f>
        <v>1</v>
      </c>
      <c r="E9" s="14">
        <f>IF(AND(ISNUMBER(Calc_AuV!E9),ISNUMBER(Conv_AuV!E9)),Calc_AuV!E9/Conv_AuV!E9,"n.d.")</f>
        <v>1</v>
      </c>
      <c r="F9" s="14">
        <f>IF(AND(ISNUMBER(Calc_AuV!F9),ISNUMBER(Conv_AuV!F9)),Calc_AuV!F9/Conv_AuV!F9,"n.d.")</f>
        <v>1</v>
      </c>
      <c r="G9" s="14">
        <f>IF(AND(ISNUMBER(Calc_AuV!G9),ISNUMBER(Conv_AuV!G9)),Calc_AuV!G9/Conv_AuV!G9,"n.d.")</f>
        <v>1</v>
      </c>
      <c r="H9" s="14">
        <f>IF(AND(ISNUMBER(Calc_AuV!H9),ISNUMBER(Conv_AuV!H9)),Calc_AuV!H9/Conv_AuV!H9,"n.d.")</f>
        <v>1</v>
      </c>
      <c r="I9" s="14">
        <f>IF(AND(ISNUMBER(Calc_AuV!I9),ISNUMBER(Conv_AuV!I9)),Calc_AuV!I9/Conv_AuV!I9,"n.d.")</f>
        <v>1</v>
      </c>
      <c r="J9" s="14">
        <f>IF(AND(ISNUMBER(Calc_AuV!J9),ISNUMBER(Conv_AuV!J9)),Calc_AuV!J9/Conv_AuV!J9,"n.d.")</f>
        <v>0.99999999999999989</v>
      </c>
      <c r="K9" s="14">
        <f>IF(AND(ISNUMBER(Calc_AuV!K9),ISNUMBER(Conv_AuV!K9)),Calc_AuV!K9/Conv_AuV!K9,"n.d.")</f>
        <v>1</v>
      </c>
      <c r="L9" s="14">
        <f>IF(AND(ISNUMBER(Calc_AuV!L9),ISNUMBER(Conv_AuV!L9)),Calc_AuV!L9/Conv_AuV!L9,"n.d.")</f>
        <v>1</v>
      </c>
      <c r="M9" s="14">
        <f>IF(AND(ISNUMBER(Calc_AuV!M9),ISNUMBER(Conv_AuV!M9)),Calc_AuV!M9/Conv_AuV!M9,"n.d.")</f>
        <v>1</v>
      </c>
      <c r="N9" s="14">
        <f>IF(AND(ISNUMBER(Calc_AuV!N9),ISNUMBER(Conv_AuV!N9)),Calc_AuV!N9/Conv_AuV!N9,"n.d.")</f>
        <v>1</v>
      </c>
      <c r="O9" s="14">
        <f>IF(AND(ISNUMBER(Calc_AuV!O9),ISNUMBER(Conv_AuV!O9)),Calc_AuV!O9/Conv_AuV!O9,"n.d.")</f>
        <v>1</v>
      </c>
      <c r="P9" s="14">
        <f>IF(AND(ISNUMBER(Calc_AuV!P9),ISNUMBER(Conv_AuV!P9)),Calc_AuV!P9/Conv_AuV!P9,"n.d.")</f>
        <v>1</v>
      </c>
      <c r="Q9" s="14">
        <f>IF(AND(ISNUMBER(Calc_AuV!Q9),ISNUMBER(Conv_AuV!Q9)),Calc_AuV!Q9/Conv_AuV!Q9,"n.d.")</f>
        <v>1</v>
      </c>
      <c r="R9" s="14">
        <f>IF(AND(ISNUMBER(Calc_AuV!R9),ISNUMBER(Conv_AuV!R9)),Calc_AuV!R9/Conv_AuV!R9,"n.d.")</f>
        <v>1</v>
      </c>
      <c r="S9" s="14">
        <f>IF(AND(ISNUMBER(Calc_AuV!S9),ISNUMBER(Conv_AuV!S9)),Calc_AuV!S9/Conv_AuV!S9,"n.d.")</f>
        <v>1</v>
      </c>
      <c r="T9" s="14">
        <f>IF(AND(ISNUMBER(Calc_AuV!T9),ISNUMBER(Conv_AuV!T9)),Calc_AuV!T9/Conv_AuV!T9,"n.d.")</f>
        <v>1</v>
      </c>
      <c r="U9" s="14">
        <f>IF(AND(ISNUMBER(Calc_AuV!U9),ISNUMBER(Conv_AuV!U9)),Calc_AuV!U9/Conv_AuV!U9,"n.d.")</f>
        <v>1</v>
      </c>
      <c r="V9" s="14">
        <f>IF(AND(ISNUMBER(Calc_AuV!V9),ISNUMBER(Conv_AuV!V9)),Calc_AuV!V9/Conv_AuV!V9,"n.d.")</f>
        <v>1</v>
      </c>
      <c r="W9" s="14">
        <f>IF(AND(ISNUMBER(Calc_AuV!W9),ISNUMBER(Conv_AuV!W9)),Calc_AuV!W9/Conv_AuV!W9,"n.d.")</f>
        <v>1</v>
      </c>
      <c r="X9" s="14">
        <f>IF(AND(ISNUMBER(Calc_AuV!X9),ISNUMBER(Conv_AuV!X9)),Calc_AuV!X9/Conv_AuV!X9,"n.d.")</f>
        <v>1</v>
      </c>
    </row>
    <row r="10" spans="1:24" x14ac:dyDescent="0.25">
      <c r="A10" s="13" t="str">
        <f>Calc_AuV!A10</f>
        <v>af</v>
      </c>
      <c r="B10" s="13" t="str">
        <f>Calc_AuV!B10</f>
        <v>R5</v>
      </c>
      <c r="C10" s="14">
        <f>IF(AND(ISNUMBER(Calc_AuV!C10),ISNUMBER(Conv_AuV!C10)),Calc_AuV!C10/Conv_AuV!C10,"n.d.")</f>
        <v>1</v>
      </c>
      <c r="D10" s="14">
        <f>IF(AND(ISNUMBER(Calc_AuV!D10),ISNUMBER(Conv_AuV!D10)),Calc_AuV!D10/Conv_AuV!D10,"n.d.")</f>
        <v>1</v>
      </c>
      <c r="E10" s="14">
        <f>IF(AND(ISNUMBER(Calc_AuV!E10),ISNUMBER(Conv_AuV!E10)),Calc_AuV!E10/Conv_AuV!E10,"n.d.")</f>
        <v>1</v>
      </c>
      <c r="F10" s="14">
        <f>IF(AND(ISNUMBER(Calc_AuV!F10),ISNUMBER(Conv_AuV!F10)),Calc_AuV!F10/Conv_AuV!F10,"n.d.")</f>
        <v>1</v>
      </c>
      <c r="G10" s="14">
        <f>IF(AND(ISNUMBER(Calc_AuV!G10),ISNUMBER(Conv_AuV!G10)),Calc_AuV!G10/Conv_AuV!G10,"n.d.")</f>
        <v>1</v>
      </c>
      <c r="H10" s="14">
        <f>IF(AND(ISNUMBER(Calc_AuV!H10),ISNUMBER(Conv_AuV!H10)),Calc_AuV!H10/Conv_AuV!H10,"n.d.")</f>
        <v>1</v>
      </c>
      <c r="I10" s="14">
        <f>IF(AND(ISNUMBER(Calc_AuV!I10),ISNUMBER(Conv_AuV!I10)),Calc_AuV!I10/Conv_AuV!I10,"n.d.")</f>
        <v>1</v>
      </c>
      <c r="J10" s="14">
        <f>IF(AND(ISNUMBER(Calc_AuV!J10),ISNUMBER(Conv_AuV!J10)),Calc_AuV!J10/Conv_AuV!J10,"n.d.")</f>
        <v>1</v>
      </c>
      <c r="K10" s="14">
        <f>IF(AND(ISNUMBER(Calc_AuV!K10),ISNUMBER(Conv_AuV!K10)),Calc_AuV!K10/Conv_AuV!K10,"n.d.")</f>
        <v>1</v>
      </c>
      <c r="L10" s="14">
        <f>IF(AND(ISNUMBER(Calc_AuV!L10),ISNUMBER(Conv_AuV!L10)),Calc_AuV!L10/Conv_AuV!L10,"n.d.")</f>
        <v>1</v>
      </c>
      <c r="M10" s="14">
        <f>IF(AND(ISNUMBER(Calc_AuV!M10),ISNUMBER(Conv_AuV!M10)),Calc_AuV!M10/Conv_AuV!M10,"n.d.")</f>
        <v>1</v>
      </c>
      <c r="N10" s="14">
        <f>IF(AND(ISNUMBER(Calc_AuV!N10),ISNUMBER(Conv_AuV!N10)),Calc_AuV!N10/Conv_AuV!N10,"n.d.")</f>
        <v>1</v>
      </c>
      <c r="O10" s="14">
        <f>IF(AND(ISNUMBER(Calc_AuV!O10),ISNUMBER(Conv_AuV!O10)),Calc_AuV!O10/Conv_AuV!O10,"n.d.")</f>
        <v>1</v>
      </c>
      <c r="P10" s="14">
        <f>IF(AND(ISNUMBER(Calc_AuV!P10),ISNUMBER(Conv_AuV!P10)),Calc_AuV!P10/Conv_AuV!P10,"n.d.")</f>
        <v>1</v>
      </c>
      <c r="Q10" s="14">
        <f>IF(AND(ISNUMBER(Calc_AuV!Q10),ISNUMBER(Conv_AuV!Q10)),Calc_AuV!Q10/Conv_AuV!Q10,"n.d.")</f>
        <v>1</v>
      </c>
      <c r="R10" s="14">
        <f>IF(AND(ISNUMBER(Calc_AuV!R10),ISNUMBER(Conv_AuV!R10)),Calc_AuV!R10/Conv_AuV!R10,"n.d.")</f>
        <v>1</v>
      </c>
      <c r="S10" s="14">
        <f>IF(AND(ISNUMBER(Calc_AuV!S10),ISNUMBER(Conv_AuV!S10)),Calc_AuV!S10/Conv_AuV!S10,"n.d.")</f>
        <v>1</v>
      </c>
      <c r="T10" s="14">
        <f>IF(AND(ISNUMBER(Calc_AuV!T10),ISNUMBER(Conv_AuV!T10)),Calc_AuV!T10/Conv_AuV!T10,"n.d.")</f>
        <v>1.0000000000000004</v>
      </c>
      <c r="U10" s="14">
        <f>IF(AND(ISNUMBER(Calc_AuV!U10),ISNUMBER(Conv_AuV!U10)),Calc_AuV!U10/Conv_AuV!U10,"n.d.")</f>
        <v>1</v>
      </c>
      <c r="V10" s="14">
        <f>IF(AND(ISNUMBER(Calc_AuV!V10),ISNUMBER(Conv_AuV!V10)),Calc_AuV!V10/Conv_AuV!V10,"n.d.")</f>
        <v>1</v>
      </c>
      <c r="W10" s="14">
        <f>IF(AND(ISNUMBER(Calc_AuV!W10),ISNUMBER(Conv_AuV!W10)),Calc_AuV!W10/Conv_AuV!W10,"n.d.")</f>
        <v>1</v>
      </c>
      <c r="X10" s="14">
        <f>IF(AND(ISNUMBER(Calc_AuV!X10),ISNUMBER(Conv_AuV!X10)),Calc_AuV!X10/Conv_AuV!X10,"n.d.")</f>
        <v>1</v>
      </c>
    </row>
    <row r="11" spans="1:24" x14ac:dyDescent="0.25">
      <c r="A11" s="13" t="str">
        <f>Calc_AuV!A11</f>
        <v>ag</v>
      </c>
      <c r="B11" s="13" t="str">
        <f>Calc_AuV!B11</f>
        <v>R6</v>
      </c>
      <c r="C11" s="14">
        <f>IF(AND(ISNUMBER(Calc_AuV!C11),ISNUMBER(Conv_AuV!C11)),Calc_AuV!C11/Conv_AuV!C11,"n.d.")</f>
        <v>1</v>
      </c>
      <c r="D11" s="14">
        <f>IF(AND(ISNUMBER(Calc_AuV!D11),ISNUMBER(Conv_AuV!D11)),Calc_AuV!D11/Conv_AuV!D11,"n.d.")</f>
        <v>1</v>
      </c>
      <c r="E11" s="14">
        <f>IF(AND(ISNUMBER(Calc_AuV!E11),ISNUMBER(Conv_AuV!E11)),Calc_AuV!E11/Conv_AuV!E11,"n.d.")</f>
        <v>1</v>
      </c>
      <c r="F11" s="14">
        <f>IF(AND(ISNUMBER(Calc_AuV!F11),ISNUMBER(Conv_AuV!F11)),Calc_AuV!F11/Conv_AuV!F11,"n.d.")</f>
        <v>1</v>
      </c>
      <c r="G11" s="14">
        <f>IF(AND(ISNUMBER(Calc_AuV!G11),ISNUMBER(Conv_AuV!G11)),Calc_AuV!G11/Conv_AuV!G11,"n.d.")</f>
        <v>1</v>
      </c>
      <c r="H11" s="14">
        <f>IF(AND(ISNUMBER(Calc_AuV!H11),ISNUMBER(Conv_AuV!H11)),Calc_AuV!H11/Conv_AuV!H11,"n.d.")</f>
        <v>1</v>
      </c>
      <c r="I11" s="14">
        <f>IF(AND(ISNUMBER(Calc_AuV!I11),ISNUMBER(Conv_AuV!I11)),Calc_AuV!I11/Conv_AuV!I11,"n.d.")</f>
        <v>1</v>
      </c>
      <c r="J11" s="14">
        <f>IF(AND(ISNUMBER(Calc_AuV!J11),ISNUMBER(Conv_AuV!J11)),Calc_AuV!J11/Conv_AuV!J11,"n.d.")</f>
        <v>1</v>
      </c>
      <c r="K11" s="14">
        <f>IF(AND(ISNUMBER(Calc_AuV!K11),ISNUMBER(Conv_AuV!K11)),Calc_AuV!K11/Conv_AuV!K11,"n.d.")</f>
        <v>1</v>
      </c>
      <c r="L11" s="14">
        <f>IF(AND(ISNUMBER(Calc_AuV!L11),ISNUMBER(Conv_AuV!L11)),Calc_AuV!L11/Conv_AuV!L11,"n.d.")</f>
        <v>1</v>
      </c>
      <c r="M11" s="14">
        <f>IF(AND(ISNUMBER(Calc_AuV!M11),ISNUMBER(Conv_AuV!M11)),Calc_AuV!M11/Conv_AuV!M11,"n.d.")</f>
        <v>1</v>
      </c>
      <c r="N11" s="14">
        <f>IF(AND(ISNUMBER(Calc_AuV!N11),ISNUMBER(Conv_AuV!N11)),Calc_AuV!N11/Conv_AuV!N11,"n.d.")</f>
        <v>1</v>
      </c>
      <c r="O11" s="14">
        <f>IF(AND(ISNUMBER(Calc_AuV!O11),ISNUMBER(Conv_AuV!O11)),Calc_AuV!O11/Conv_AuV!O11,"n.d.")</f>
        <v>1</v>
      </c>
      <c r="P11" s="14">
        <f>IF(AND(ISNUMBER(Calc_AuV!P11),ISNUMBER(Conv_AuV!P11)),Calc_AuV!P11/Conv_AuV!P11,"n.d.")</f>
        <v>1</v>
      </c>
      <c r="Q11" s="14">
        <f>IF(AND(ISNUMBER(Calc_AuV!Q11),ISNUMBER(Conv_AuV!Q11)),Calc_AuV!Q11/Conv_AuV!Q11,"n.d.")</f>
        <v>1</v>
      </c>
      <c r="R11" s="14">
        <f>IF(AND(ISNUMBER(Calc_AuV!R11),ISNUMBER(Conv_AuV!R11)),Calc_AuV!R11/Conv_AuV!R11,"n.d.")</f>
        <v>1</v>
      </c>
      <c r="S11" s="14">
        <f>IF(AND(ISNUMBER(Calc_AuV!S11),ISNUMBER(Conv_AuV!S11)),Calc_AuV!S11/Conv_AuV!S11,"n.d.")</f>
        <v>1</v>
      </c>
      <c r="T11" s="14">
        <f>IF(AND(ISNUMBER(Calc_AuV!T11),ISNUMBER(Conv_AuV!T11)),Calc_AuV!T11/Conv_AuV!T11,"n.d.")</f>
        <v>1</v>
      </c>
      <c r="U11" s="14">
        <f>IF(AND(ISNUMBER(Calc_AuV!U11),ISNUMBER(Conv_AuV!U11)),Calc_AuV!U11/Conv_AuV!U11,"n.d.")</f>
        <v>1</v>
      </c>
      <c r="V11" s="14">
        <f>IF(AND(ISNUMBER(Calc_AuV!V11),ISNUMBER(Conv_AuV!V11)),Calc_AuV!V11/Conv_AuV!V11,"n.d.")</f>
        <v>1</v>
      </c>
      <c r="W11" s="14">
        <f>IF(AND(ISNUMBER(Calc_AuV!W11),ISNUMBER(Conv_AuV!W11)),Calc_AuV!W11/Conv_AuV!W11,"n.d.")</f>
        <v>1</v>
      </c>
      <c r="X11" s="14">
        <f>IF(AND(ISNUMBER(Calc_AuV!X11),ISNUMBER(Conv_AuV!X11)),Calc_AuV!X11/Conv_AuV!X11,"n.d.")</f>
        <v>1</v>
      </c>
    </row>
    <row r="12" spans="1:24" x14ac:dyDescent="0.25">
      <c r="A12" s="13" t="str">
        <f>Calc_AuV!A12</f>
        <v>ah</v>
      </c>
      <c r="B12" s="13" t="str">
        <f>Calc_AuV!B12</f>
        <v>R7</v>
      </c>
      <c r="C12" s="14">
        <f>IF(AND(ISNUMBER(Calc_AuV!C12),ISNUMBER(Conv_AuV!C12)),Calc_AuV!C12/Conv_AuV!C12,"n.d.")</f>
        <v>1</v>
      </c>
      <c r="D12" s="14">
        <f>IF(AND(ISNUMBER(Calc_AuV!D12),ISNUMBER(Conv_AuV!D12)),Calc_AuV!D12/Conv_AuV!D12,"n.d.")</f>
        <v>1</v>
      </c>
      <c r="E12" s="14">
        <f>IF(AND(ISNUMBER(Calc_AuV!E12),ISNUMBER(Conv_AuV!E12)),Calc_AuV!E12/Conv_AuV!E12,"n.d.")</f>
        <v>1</v>
      </c>
      <c r="F12" s="14">
        <f>IF(AND(ISNUMBER(Calc_AuV!F12),ISNUMBER(Conv_AuV!F12)),Calc_AuV!F12/Conv_AuV!F12,"n.d.")</f>
        <v>1</v>
      </c>
      <c r="G12" s="14">
        <f>IF(AND(ISNUMBER(Calc_AuV!G12),ISNUMBER(Conv_AuV!G12)),Calc_AuV!G12/Conv_AuV!G12,"n.d.")</f>
        <v>1</v>
      </c>
      <c r="H12" s="14">
        <f>IF(AND(ISNUMBER(Calc_AuV!H12),ISNUMBER(Conv_AuV!H12)),Calc_AuV!H12/Conv_AuV!H12,"n.d.")</f>
        <v>1</v>
      </c>
      <c r="I12" s="14">
        <f>IF(AND(ISNUMBER(Calc_AuV!I12),ISNUMBER(Conv_AuV!I12)),Calc_AuV!I12/Conv_AuV!I12,"n.d.")</f>
        <v>1</v>
      </c>
      <c r="J12" s="14">
        <f>IF(AND(ISNUMBER(Calc_AuV!J12),ISNUMBER(Conv_AuV!J12)),Calc_AuV!J12/Conv_AuV!J12,"n.d.")</f>
        <v>1</v>
      </c>
      <c r="K12" s="14">
        <f>IF(AND(ISNUMBER(Calc_AuV!K12),ISNUMBER(Conv_AuV!K12)),Calc_AuV!K12/Conv_AuV!K12,"n.d.")</f>
        <v>1</v>
      </c>
      <c r="L12" s="14">
        <f>IF(AND(ISNUMBER(Calc_AuV!L12),ISNUMBER(Conv_AuV!L12)),Calc_AuV!L12/Conv_AuV!L12,"n.d.")</f>
        <v>1</v>
      </c>
      <c r="M12" s="14">
        <f>IF(AND(ISNUMBER(Calc_AuV!M12),ISNUMBER(Conv_AuV!M12)),Calc_AuV!M12/Conv_AuV!M12,"n.d.")</f>
        <v>1</v>
      </c>
      <c r="N12" s="14">
        <f>IF(AND(ISNUMBER(Calc_AuV!N12),ISNUMBER(Conv_AuV!N12)),Calc_AuV!N12/Conv_AuV!N12,"n.d.")</f>
        <v>1</v>
      </c>
      <c r="O12" s="14">
        <f>IF(AND(ISNUMBER(Calc_AuV!O12),ISNUMBER(Conv_AuV!O12)),Calc_AuV!O12/Conv_AuV!O12,"n.d.")</f>
        <v>1</v>
      </c>
      <c r="P12" s="14">
        <f>IF(AND(ISNUMBER(Calc_AuV!P12),ISNUMBER(Conv_AuV!P12)),Calc_AuV!P12/Conv_AuV!P12,"n.d.")</f>
        <v>1</v>
      </c>
      <c r="Q12" s="14">
        <f>IF(AND(ISNUMBER(Calc_AuV!Q12),ISNUMBER(Conv_AuV!Q12)),Calc_AuV!Q12/Conv_AuV!Q12,"n.d.")</f>
        <v>1</v>
      </c>
      <c r="R12" s="14">
        <f>IF(AND(ISNUMBER(Calc_AuV!R12),ISNUMBER(Conv_AuV!R12)),Calc_AuV!R12/Conv_AuV!R12,"n.d.")</f>
        <v>1</v>
      </c>
      <c r="S12" s="14">
        <f>IF(AND(ISNUMBER(Calc_AuV!S12),ISNUMBER(Conv_AuV!S12)),Calc_AuV!S12/Conv_AuV!S12,"n.d.")</f>
        <v>1</v>
      </c>
      <c r="T12" s="14">
        <f>IF(AND(ISNUMBER(Calc_AuV!T12),ISNUMBER(Conv_AuV!T12)),Calc_AuV!T12/Conv_AuV!T12,"n.d.")</f>
        <v>1</v>
      </c>
      <c r="U12" s="14">
        <f>IF(AND(ISNUMBER(Calc_AuV!U12),ISNUMBER(Conv_AuV!U12)),Calc_AuV!U12/Conv_AuV!U12,"n.d.")</f>
        <v>1</v>
      </c>
      <c r="V12" s="14">
        <f>IF(AND(ISNUMBER(Calc_AuV!V12),ISNUMBER(Conv_AuV!V12)),Calc_AuV!V12/Conv_AuV!V12,"n.d.")</f>
        <v>1</v>
      </c>
      <c r="W12" s="14">
        <f>IF(AND(ISNUMBER(Calc_AuV!W12),ISNUMBER(Conv_AuV!W12)),Calc_AuV!W12/Conv_AuV!W12,"n.d.")</f>
        <v>1</v>
      </c>
      <c r="X12" s="14">
        <f>IF(AND(ISNUMBER(Calc_AuV!X12),ISNUMBER(Conv_AuV!X12)),Calc_AuV!X12/Conv_AuV!X12,"n.d.")</f>
        <v>1</v>
      </c>
    </row>
    <row r="13" spans="1:24" x14ac:dyDescent="0.25">
      <c r="A13" s="13" t="str">
        <f>Calc_AuV!A13</f>
        <v>ai</v>
      </c>
      <c r="B13" s="13" t="str">
        <f>Calc_AuV!B13</f>
        <v>R8</v>
      </c>
      <c r="C13" s="14">
        <f>IF(AND(ISNUMBER(Calc_AuV!C13),ISNUMBER(Conv_AuV!C13)),Calc_AuV!C13/Conv_AuV!C13,"n.d.")</f>
        <v>1</v>
      </c>
      <c r="D13" s="14">
        <f>IF(AND(ISNUMBER(Calc_AuV!D13),ISNUMBER(Conv_AuV!D13)),Calc_AuV!D13/Conv_AuV!D13,"n.d.")</f>
        <v>1</v>
      </c>
      <c r="E13" s="14">
        <f>IF(AND(ISNUMBER(Calc_AuV!E13),ISNUMBER(Conv_AuV!E13)),Calc_AuV!E13/Conv_AuV!E13,"n.d.")</f>
        <v>1</v>
      </c>
      <c r="F13" s="14">
        <f>IF(AND(ISNUMBER(Calc_AuV!F13),ISNUMBER(Conv_AuV!F13)),Calc_AuV!F13/Conv_AuV!F13,"n.d.")</f>
        <v>1</v>
      </c>
      <c r="G13" s="14">
        <f>IF(AND(ISNUMBER(Calc_AuV!G13),ISNUMBER(Conv_AuV!G13)),Calc_AuV!G13/Conv_AuV!G13,"n.d.")</f>
        <v>1</v>
      </c>
      <c r="H13" s="14">
        <f>IF(AND(ISNUMBER(Calc_AuV!H13),ISNUMBER(Conv_AuV!H13)),Calc_AuV!H13/Conv_AuV!H13,"n.d.")</f>
        <v>1</v>
      </c>
      <c r="I13" s="14">
        <f>IF(AND(ISNUMBER(Calc_AuV!I13),ISNUMBER(Conv_AuV!I13)),Calc_AuV!I13/Conv_AuV!I13,"n.d.")</f>
        <v>1</v>
      </c>
      <c r="J13" s="14">
        <f>IF(AND(ISNUMBER(Calc_AuV!J13),ISNUMBER(Conv_AuV!J13)),Calc_AuV!J13/Conv_AuV!J13,"n.d.")</f>
        <v>1</v>
      </c>
      <c r="K13" s="14">
        <f>IF(AND(ISNUMBER(Calc_AuV!K13),ISNUMBER(Conv_AuV!K13)),Calc_AuV!K13/Conv_AuV!K13,"n.d.")</f>
        <v>1</v>
      </c>
      <c r="L13" s="14">
        <f>IF(AND(ISNUMBER(Calc_AuV!L13),ISNUMBER(Conv_AuV!L13)),Calc_AuV!L13/Conv_AuV!L13,"n.d.")</f>
        <v>1</v>
      </c>
      <c r="M13" s="14">
        <f>IF(AND(ISNUMBER(Calc_AuV!M13),ISNUMBER(Conv_AuV!M13)),Calc_AuV!M13/Conv_AuV!M13,"n.d.")</f>
        <v>1</v>
      </c>
      <c r="N13" s="14">
        <f>IF(AND(ISNUMBER(Calc_AuV!N13),ISNUMBER(Conv_AuV!N13)),Calc_AuV!N13/Conv_AuV!N13,"n.d.")</f>
        <v>1</v>
      </c>
      <c r="O13" s="14">
        <f>IF(AND(ISNUMBER(Calc_AuV!O13),ISNUMBER(Conv_AuV!O13)),Calc_AuV!O13/Conv_AuV!O13,"n.d.")</f>
        <v>1</v>
      </c>
      <c r="P13" s="14">
        <f>IF(AND(ISNUMBER(Calc_AuV!P13),ISNUMBER(Conv_AuV!P13)),Calc_AuV!P13/Conv_AuV!P13,"n.d.")</f>
        <v>1</v>
      </c>
      <c r="Q13" s="14">
        <f>IF(AND(ISNUMBER(Calc_AuV!Q13),ISNUMBER(Conv_AuV!Q13)),Calc_AuV!Q13/Conv_AuV!Q13,"n.d.")</f>
        <v>1</v>
      </c>
      <c r="R13" s="14">
        <f>IF(AND(ISNUMBER(Calc_AuV!R13),ISNUMBER(Conv_AuV!R13)),Calc_AuV!R13/Conv_AuV!R13,"n.d.")</f>
        <v>1</v>
      </c>
      <c r="S13" s="14">
        <f>IF(AND(ISNUMBER(Calc_AuV!S13),ISNUMBER(Conv_AuV!S13)),Calc_AuV!S13/Conv_AuV!S13,"n.d.")</f>
        <v>1</v>
      </c>
      <c r="T13" s="14">
        <f>IF(AND(ISNUMBER(Calc_AuV!T13),ISNUMBER(Conv_AuV!T13)),Calc_AuV!T13/Conv_AuV!T13,"n.d.")</f>
        <v>1</v>
      </c>
      <c r="U13" s="14">
        <f>IF(AND(ISNUMBER(Calc_AuV!U13),ISNUMBER(Conv_AuV!U13)),Calc_AuV!U13/Conv_AuV!U13,"n.d.")</f>
        <v>1</v>
      </c>
      <c r="V13" s="14">
        <f>IF(AND(ISNUMBER(Calc_AuV!V13),ISNUMBER(Conv_AuV!V13)),Calc_AuV!V13/Conv_AuV!V13,"n.d.")</f>
        <v>1</v>
      </c>
      <c r="W13" s="14">
        <f>IF(AND(ISNUMBER(Calc_AuV!W13),ISNUMBER(Conv_AuV!W13)),Calc_AuV!W13/Conv_AuV!W13,"n.d.")</f>
        <v>1</v>
      </c>
      <c r="X13" s="14">
        <f>IF(AND(ISNUMBER(Calc_AuV!X13),ISNUMBER(Conv_AuV!X13)),Calc_AuV!X13/Conv_AuV!X13,"n.d.")</f>
        <v>1</v>
      </c>
    </row>
    <row r="14" spans="1:24" x14ac:dyDescent="0.25">
      <c r="A14" s="13" t="str">
        <f>Calc_AuV!A14</f>
        <v>aj</v>
      </c>
      <c r="B14" s="13" t="str">
        <f>Calc_AuV!B14</f>
        <v>R9</v>
      </c>
      <c r="C14" s="14">
        <f>IF(AND(ISNUMBER(Calc_AuV!C14),ISNUMBER(Conv_AuV!C14)),Calc_AuV!C14/Conv_AuV!C14,"n.d.")</f>
        <v>1</v>
      </c>
      <c r="D14" s="14">
        <f>IF(AND(ISNUMBER(Calc_AuV!D14),ISNUMBER(Conv_AuV!D14)),Calc_AuV!D14/Conv_AuV!D14,"n.d.")</f>
        <v>1</v>
      </c>
      <c r="E14" s="14">
        <f>IF(AND(ISNUMBER(Calc_AuV!E14),ISNUMBER(Conv_AuV!E14)),Calc_AuV!E14/Conv_AuV!E14,"n.d.")</f>
        <v>1</v>
      </c>
      <c r="F14" s="14">
        <f>IF(AND(ISNUMBER(Calc_AuV!F14),ISNUMBER(Conv_AuV!F14)),Calc_AuV!F14/Conv_AuV!F14,"n.d.")</f>
        <v>1</v>
      </c>
      <c r="G14" s="14">
        <f>IF(AND(ISNUMBER(Calc_AuV!G14),ISNUMBER(Conv_AuV!G14)),Calc_AuV!G14/Conv_AuV!G14,"n.d.")</f>
        <v>1</v>
      </c>
      <c r="H14" s="14">
        <f>IF(AND(ISNUMBER(Calc_AuV!H14),ISNUMBER(Conv_AuV!H14)),Calc_AuV!H14/Conv_AuV!H14,"n.d.")</f>
        <v>1</v>
      </c>
      <c r="I14" s="14">
        <f>IF(AND(ISNUMBER(Calc_AuV!I14),ISNUMBER(Conv_AuV!I14)),Calc_AuV!I14/Conv_AuV!I14,"n.d.")</f>
        <v>1</v>
      </c>
      <c r="J14" s="14">
        <f>IF(AND(ISNUMBER(Calc_AuV!J14),ISNUMBER(Conv_AuV!J14)),Calc_AuV!J14/Conv_AuV!J14,"n.d.")</f>
        <v>1</v>
      </c>
      <c r="K14" s="14">
        <f>IF(AND(ISNUMBER(Calc_AuV!K14),ISNUMBER(Conv_AuV!K14)),Calc_AuV!K14/Conv_AuV!K14,"n.d.")</f>
        <v>1</v>
      </c>
      <c r="L14" s="14">
        <f>IF(AND(ISNUMBER(Calc_AuV!L14),ISNUMBER(Conv_AuV!L14)),Calc_AuV!L14/Conv_AuV!L14,"n.d.")</f>
        <v>1</v>
      </c>
      <c r="M14" s="14">
        <f>IF(AND(ISNUMBER(Calc_AuV!M14),ISNUMBER(Conv_AuV!M14)),Calc_AuV!M14/Conv_AuV!M14,"n.d.")</f>
        <v>1</v>
      </c>
      <c r="N14" s="14">
        <f>IF(AND(ISNUMBER(Calc_AuV!N14),ISNUMBER(Conv_AuV!N14)),Calc_AuV!N14/Conv_AuV!N14,"n.d.")</f>
        <v>1</v>
      </c>
      <c r="O14" s="14">
        <f>IF(AND(ISNUMBER(Calc_AuV!O14),ISNUMBER(Conv_AuV!O14)),Calc_AuV!O14/Conv_AuV!O14,"n.d.")</f>
        <v>1</v>
      </c>
      <c r="P14" s="14">
        <f>IF(AND(ISNUMBER(Calc_AuV!P14),ISNUMBER(Conv_AuV!P14)),Calc_AuV!P14/Conv_AuV!P14,"n.d.")</f>
        <v>1</v>
      </c>
      <c r="Q14" s="14">
        <f>IF(AND(ISNUMBER(Calc_AuV!Q14),ISNUMBER(Conv_AuV!Q14)),Calc_AuV!Q14/Conv_AuV!Q14,"n.d.")</f>
        <v>1</v>
      </c>
      <c r="R14" s="14">
        <f>IF(AND(ISNUMBER(Calc_AuV!R14),ISNUMBER(Conv_AuV!R14)),Calc_AuV!R14/Conv_AuV!R14,"n.d.")</f>
        <v>1</v>
      </c>
      <c r="S14" s="14">
        <f>IF(AND(ISNUMBER(Calc_AuV!S14),ISNUMBER(Conv_AuV!S14)),Calc_AuV!S14/Conv_AuV!S14,"n.d.")</f>
        <v>1</v>
      </c>
      <c r="T14" s="14">
        <f>IF(AND(ISNUMBER(Calc_AuV!T14),ISNUMBER(Conv_AuV!T14)),Calc_AuV!T14/Conv_AuV!T14,"n.d.")</f>
        <v>1</v>
      </c>
      <c r="U14" s="14">
        <f>IF(AND(ISNUMBER(Calc_AuV!U14),ISNUMBER(Conv_AuV!U14)),Calc_AuV!U14/Conv_AuV!U14,"n.d.")</f>
        <v>1</v>
      </c>
      <c r="V14" s="14">
        <f>IF(AND(ISNUMBER(Calc_AuV!V14),ISNUMBER(Conv_AuV!V14)),Calc_AuV!V14/Conv_AuV!V14,"n.d.")</f>
        <v>1</v>
      </c>
      <c r="W14" s="14">
        <f>IF(AND(ISNUMBER(Calc_AuV!W14),ISNUMBER(Conv_AuV!W14)),Calc_AuV!W14/Conv_AuV!W14,"n.d.")</f>
        <v>1</v>
      </c>
      <c r="X14" s="14">
        <f>IF(AND(ISNUMBER(Calc_AuV!X14),ISNUMBER(Conv_AuV!X14)),Calc_AuV!X14/Conv_AuV!X14,"n.d.")</f>
        <v>1</v>
      </c>
    </row>
    <row r="15" spans="1:24" x14ac:dyDescent="0.25">
      <c r="A15" s="13" t="str">
        <f>Calc_AuV!A15</f>
        <v>ak</v>
      </c>
      <c r="B15" s="13" t="str">
        <f>Calc_AuV!B15</f>
        <v>R10</v>
      </c>
      <c r="C15" s="14">
        <f>IF(AND(ISNUMBER(Calc_AuV!C15),ISNUMBER(Conv_AuV!C15)),Calc_AuV!C15/Conv_AuV!C15,"n.d.")</f>
        <v>1</v>
      </c>
      <c r="D15" s="14">
        <f>IF(AND(ISNUMBER(Calc_AuV!D15),ISNUMBER(Conv_AuV!D15)),Calc_AuV!D15/Conv_AuV!D15,"n.d.")</f>
        <v>1</v>
      </c>
      <c r="E15" s="14">
        <f>IF(AND(ISNUMBER(Calc_AuV!E15),ISNUMBER(Conv_AuV!E15)),Calc_AuV!E15/Conv_AuV!E15,"n.d.")</f>
        <v>1</v>
      </c>
      <c r="F15" s="14">
        <f>IF(AND(ISNUMBER(Calc_AuV!F15),ISNUMBER(Conv_AuV!F15)),Calc_AuV!F15/Conv_AuV!F15,"n.d.")</f>
        <v>1</v>
      </c>
      <c r="G15" s="14">
        <f>IF(AND(ISNUMBER(Calc_AuV!G15),ISNUMBER(Conv_AuV!G15)),Calc_AuV!G15/Conv_AuV!G15,"n.d.")</f>
        <v>1</v>
      </c>
      <c r="H15" s="14">
        <f>IF(AND(ISNUMBER(Calc_AuV!H15),ISNUMBER(Conv_AuV!H15)),Calc_AuV!H15/Conv_AuV!H15,"n.d.")</f>
        <v>1</v>
      </c>
      <c r="I15" s="14">
        <f>IF(AND(ISNUMBER(Calc_AuV!I15),ISNUMBER(Conv_AuV!I15)),Calc_AuV!I15/Conv_AuV!I15,"n.d.")</f>
        <v>1</v>
      </c>
      <c r="J15" s="14">
        <f>IF(AND(ISNUMBER(Calc_AuV!J15),ISNUMBER(Conv_AuV!J15)),Calc_AuV!J15/Conv_AuV!J15,"n.d.")</f>
        <v>1</v>
      </c>
      <c r="K15" s="14">
        <f>IF(AND(ISNUMBER(Calc_AuV!K15),ISNUMBER(Conv_AuV!K15)),Calc_AuV!K15/Conv_AuV!K15,"n.d.")</f>
        <v>1</v>
      </c>
      <c r="L15" s="14">
        <f>IF(AND(ISNUMBER(Calc_AuV!L15),ISNUMBER(Conv_AuV!L15)),Calc_AuV!L15/Conv_AuV!L15,"n.d.")</f>
        <v>1</v>
      </c>
      <c r="M15" s="14">
        <f>IF(AND(ISNUMBER(Calc_AuV!M15),ISNUMBER(Conv_AuV!M15)),Calc_AuV!M15/Conv_AuV!M15,"n.d.")</f>
        <v>1</v>
      </c>
      <c r="N15" s="14">
        <f>IF(AND(ISNUMBER(Calc_AuV!N15),ISNUMBER(Conv_AuV!N15)),Calc_AuV!N15/Conv_AuV!N15,"n.d.")</f>
        <v>1</v>
      </c>
      <c r="O15" s="14">
        <f>IF(AND(ISNUMBER(Calc_AuV!O15),ISNUMBER(Conv_AuV!O15)),Calc_AuV!O15/Conv_AuV!O15,"n.d.")</f>
        <v>1</v>
      </c>
      <c r="P15" s="14">
        <f>IF(AND(ISNUMBER(Calc_AuV!P15),ISNUMBER(Conv_AuV!P15)),Calc_AuV!P15/Conv_AuV!P15,"n.d.")</f>
        <v>1</v>
      </c>
      <c r="Q15" s="14">
        <f>IF(AND(ISNUMBER(Calc_AuV!Q15),ISNUMBER(Conv_AuV!Q15)),Calc_AuV!Q15/Conv_AuV!Q15,"n.d.")</f>
        <v>1</v>
      </c>
      <c r="R15" s="14">
        <f>IF(AND(ISNUMBER(Calc_AuV!R15),ISNUMBER(Conv_AuV!R15)),Calc_AuV!R15/Conv_AuV!R15,"n.d.")</f>
        <v>1</v>
      </c>
      <c r="S15" s="14">
        <f>IF(AND(ISNUMBER(Calc_AuV!S15),ISNUMBER(Conv_AuV!S15)),Calc_AuV!S15/Conv_AuV!S15,"n.d.")</f>
        <v>1</v>
      </c>
      <c r="T15" s="14">
        <f>IF(AND(ISNUMBER(Calc_AuV!T15),ISNUMBER(Conv_AuV!T15)),Calc_AuV!T15/Conv_AuV!T15,"n.d.")</f>
        <v>1</v>
      </c>
      <c r="U15" s="14">
        <f>IF(AND(ISNUMBER(Calc_AuV!U15),ISNUMBER(Conv_AuV!U15)),Calc_AuV!U15/Conv_AuV!U15,"n.d.")</f>
        <v>1</v>
      </c>
      <c r="V15" s="14">
        <f>IF(AND(ISNUMBER(Calc_AuV!V15),ISNUMBER(Conv_AuV!V15)),Calc_AuV!V15/Conv_AuV!V15,"n.d.")</f>
        <v>1</v>
      </c>
      <c r="W15" s="14">
        <f>IF(AND(ISNUMBER(Calc_AuV!W15),ISNUMBER(Conv_AuV!W15)),Calc_AuV!W15/Conv_AuV!W15,"n.d.")</f>
        <v>1</v>
      </c>
      <c r="X15" s="14">
        <f>IF(AND(ISNUMBER(Calc_AuV!X15),ISNUMBER(Conv_AuV!X15)),Calc_AuV!X15/Conv_AuV!X15,"n.d.")</f>
        <v>1</v>
      </c>
    </row>
    <row r="16" spans="1:24" x14ac:dyDescent="0.25">
      <c r="A16" s="13" t="str">
        <f>Calc_AuV!A16</f>
        <v>al</v>
      </c>
      <c r="B16" s="13" t="str">
        <f>Calc_AuV!B16</f>
        <v>R11</v>
      </c>
      <c r="C16" s="14">
        <f>IF(AND(ISNUMBER(Calc_AuV!C16),ISNUMBER(Conv_AuV!C16)),Calc_AuV!C16/Conv_AuV!C16,"n.d.")</f>
        <v>1</v>
      </c>
      <c r="D16" s="14">
        <f>IF(AND(ISNUMBER(Calc_AuV!D16),ISNUMBER(Conv_AuV!D16)),Calc_AuV!D16/Conv_AuV!D16,"n.d.")</f>
        <v>1</v>
      </c>
      <c r="E16" s="14">
        <f>IF(AND(ISNUMBER(Calc_AuV!E16),ISNUMBER(Conv_AuV!E16)),Calc_AuV!E16/Conv_AuV!E16,"n.d.")</f>
        <v>1</v>
      </c>
      <c r="F16" s="14">
        <f>IF(AND(ISNUMBER(Calc_AuV!F16),ISNUMBER(Conv_AuV!F16)),Calc_AuV!F16/Conv_AuV!F16,"n.d.")</f>
        <v>1</v>
      </c>
      <c r="G16" s="14">
        <f>IF(AND(ISNUMBER(Calc_AuV!G16),ISNUMBER(Conv_AuV!G16)),Calc_AuV!G16/Conv_AuV!G16,"n.d.")</f>
        <v>1</v>
      </c>
      <c r="H16" s="14">
        <f>IF(AND(ISNUMBER(Calc_AuV!H16),ISNUMBER(Conv_AuV!H16)),Calc_AuV!H16/Conv_AuV!H16,"n.d.")</f>
        <v>1</v>
      </c>
      <c r="I16" s="14">
        <f>IF(AND(ISNUMBER(Calc_AuV!I16),ISNUMBER(Conv_AuV!I16)),Calc_AuV!I16/Conv_AuV!I16,"n.d.")</f>
        <v>1</v>
      </c>
      <c r="J16" s="14">
        <f>IF(AND(ISNUMBER(Calc_AuV!J16),ISNUMBER(Conv_AuV!J16)),Calc_AuV!J16/Conv_AuV!J16,"n.d.")</f>
        <v>0.99999999999999978</v>
      </c>
      <c r="K16" s="14">
        <f>IF(AND(ISNUMBER(Calc_AuV!K16),ISNUMBER(Conv_AuV!K16)),Calc_AuV!K16/Conv_AuV!K16,"n.d.")</f>
        <v>1</v>
      </c>
      <c r="L16" s="14">
        <f>IF(AND(ISNUMBER(Calc_AuV!L16),ISNUMBER(Conv_AuV!L16)),Calc_AuV!L16/Conv_AuV!L16,"n.d.")</f>
        <v>1</v>
      </c>
      <c r="M16" s="14">
        <f>IF(AND(ISNUMBER(Calc_AuV!M16),ISNUMBER(Conv_AuV!M16)),Calc_AuV!M16/Conv_AuV!M16,"n.d.")</f>
        <v>1</v>
      </c>
      <c r="N16" s="14">
        <f>IF(AND(ISNUMBER(Calc_AuV!N16),ISNUMBER(Conv_AuV!N16)),Calc_AuV!N16/Conv_AuV!N16,"n.d.")</f>
        <v>1</v>
      </c>
      <c r="O16" s="14">
        <f>IF(AND(ISNUMBER(Calc_AuV!O16),ISNUMBER(Conv_AuV!O16)),Calc_AuV!O16/Conv_AuV!O16,"n.d.")</f>
        <v>1</v>
      </c>
      <c r="P16" s="14">
        <f>IF(AND(ISNUMBER(Calc_AuV!P16),ISNUMBER(Conv_AuV!P16)),Calc_AuV!P16/Conv_AuV!P16,"n.d.")</f>
        <v>1</v>
      </c>
      <c r="Q16" s="14">
        <f>IF(AND(ISNUMBER(Calc_AuV!Q16),ISNUMBER(Conv_AuV!Q16)),Calc_AuV!Q16/Conv_AuV!Q16,"n.d.")</f>
        <v>1</v>
      </c>
      <c r="R16" s="14">
        <f>IF(AND(ISNUMBER(Calc_AuV!R16),ISNUMBER(Conv_AuV!R16)),Calc_AuV!R16/Conv_AuV!R16,"n.d.")</f>
        <v>1</v>
      </c>
      <c r="S16" s="14">
        <f>IF(AND(ISNUMBER(Calc_AuV!S16),ISNUMBER(Conv_AuV!S16)),Calc_AuV!S16/Conv_AuV!S16,"n.d.")</f>
        <v>1</v>
      </c>
      <c r="T16" s="14">
        <f>IF(AND(ISNUMBER(Calc_AuV!T16),ISNUMBER(Conv_AuV!T16)),Calc_AuV!T16/Conv_AuV!T16,"n.d.")</f>
        <v>1</v>
      </c>
      <c r="U16" s="14">
        <f>IF(AND(ISNUMBER(Calc_AuV!U16),ISNUMBER(Conv_AuV!U16)),Calc_AuV!U16/Conv_AuV!U16,"n.d.")</f>
        <v>1</v>
      </c>
      <c r="V16" s="14">
        <f>IF(AND(ISNUMBER(Calc_AuV!V16),ISNUMBER(Conv_AuV!V16)),Calc_AuV!V16/Conv_AuV!V16,"n.d.")</f>
        <v>1</v>
      </c>
      <c r="W16" s="14">
        <f>IF(AND(ISNUMBER(Calc_AuV!W16),ISNUMBER(Conv_AuV!W16)),Calc_AuV!W16/Conv_AuV!W16,"n.d.")</f>
        <v>1</v>
      </c>
      <c r="X16" s="14">
        <f>IF(AND(ISNUMBER(Calc_AuV!X16),ISNUMBER(Conv_AuV!X16)),Calc_AuV!X16/Conv_AuV!X16,"n.d.")</f>
        <v>1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16" customWidth="1"/>
  </cols>
  <sheetData>
    <row r="1" spans="1:24" ht="15.75" x14ac:dyDescent="0.25">
      <c r="A1" s="11" t="s">
        <v>65</v>
      </c>
    </row>
    <row r="3" spans="1:24" x14ac:dyDescent="0.25">
      <c r="A3" s="12"/>
      <c r="B3" s="12"/>
      <c r="C3" s="20" t="s">
        <v>43</v>
      </c>
      <c r="D3" s="20"/>
      <c r="E3" s="20" t="s">
        <v>44</v>
      </c>
      <c r="F3" s="20"/>
      <c r="G3" s="20" t="s">
        <v>45</v>
      </c>
      <c r="H3" s="20"/>
      <c r="I3" s="20" t="s">
        <v>46</v>
      </c>
      <c r="J3" s="20"/>
      <c r="K3" s="20" t="s">
        <v>47</v>
      </c>
      <c r="L3" s="20"/>
      <c r="M3" s="20" t="s">
        <v>48</v>
      </c>
      <c r="N3" s="20"/>
      <c r="O3" s="20" t="s">
        <v>49</v>
      </c>
      <c r="P3" s="20"/>
      <c r="Q3" s="20" t="s">
        <v>50</v>
      </c>
      <c r="R3" s="20"/>
      <c r="S3" s="20" t="s">
        <v>51</v>
      </c>
      <c r="T3" s="20"/>
      <c r="U3" s="20" t="s">
        <v>52</v>
      </c>
      <c r="V3" s="20"/>
      <c r="W3" s="20" t="s">
        <v>53</v>
      </c>
      <c r="X3" s="20"/>
    </row>
    <row r="4" spans="1:24" x14ac:dyDescent="0.25">
      <c r="A4" s="12" t="s">
        <v>60</v>
      </c>
      <c r="B4" s="12" t="s">
        <v>61</v>
      </c>
      <c r="C4" s="12" t="s">
        <v>62</v>
      </c>
      <c r="D4" s="12" t="s">
        <v>63</v>
      </c>
      <c r="E4" s="12" t="s">
        <v>62</v>
      </c>
      <c r="F4" s="12" t="s">
        <v>63</v>
      </c>
      <c r="G4" s="12" t="s">
        <v>62</v>
      </c>
      <c r="H4" s="12" t="s">
        <v>63</v>
      </c>
      <c r="I4" s="12" t="s">
        <v>62</v>
      </c>
      <c r="J4" s="12" t="s">
        <v>63</v>
      </c>
      <c r="K4" s="12" t="s">
        <v>62</v>
      </c>
      <c r="L4" s="12" t="s">
        <v>63</v>
      </c>
      <c r="M4" s="12" t="s">
        <v>62</v>
      </c>
      <c r="N4" s="12" t="s">
        <v>63</v>
      </c>
      <c r="O4" s="12" t="s">
        <v>62</v>
      </c>
      <c r="P4" s="12" t="s">
        <v>63</v>
      </c>
      <c r="Q4" s="12" t="s">
        <v>62</v>
      </c>
      <c r="R4" s="12" t="s">
        <v>63</v>
      </c>
      <c r="S4" s="12" t="s">
        <v>62</v>
      </c>
      <c r="T4" s="12" t="s">
        <v>63</v>
      </c>
      <c r="U4" s="12" t="s">
        <v>62</v>
      </c>
      <c r="V4" s="12" t="s">
        <v>63</v>
      </c>
      <c r="W4" s="12" t="s">
        <v>62</v>
      </c>
      <c r="X4" s="12" t="s">
        <v>63</v>
      </c>
    </row>
    <row r="5" spans="1:24" x14ac:dyDescent="0.25">
      <c r="A5" s="13" t="s">
        <v>42</v>
      </c>
      <c r="B5" s="13"/>
      <c r="C5" s="14">
        <f>IF(AND(ISNUMBER(Calc_RhV!C5),ISNUMBER(Conv_RhV!C5)),Calc_RhV!C5/Conv_RhV!C5,"n.d.")</f>
        <v>1</v>
      </c>
      <c r="D5" s="14"/>
      <c r="E5" s="14">
        <f>IF(AND(ISNUMBER(Calc_RhV!E5),ISNUMBER(Conv_RhV!E5)),Calc_RhV!E5/Conv_RhV!E5,"n.d.")</f>
        <v>1</v>
      </c>
      <c r="F5" s="14"/>
      <c r="G5" s="14">
        <f>IF(AND(ISNUMBER(Calc_RhV!G5),ISNUMBER(Conv_RhV!G5)),Calc_RhV!G5/Conv_RhV!G5,"n.d.")</f>
        <v>1</v>
      </c>
      <c r="H5" s="14"/>
      <c r="I5" s="14">
        <f>IF(AND(ISNUMBER(Calc_RhV!I5),ISNUMBER(Conv_RhV!I5)),Calc_RhV!I5/Conv_RhV!I5,"n.d.")</f>
        <v>1</v>
      </c>
      <c r="J5" s="14"/>
      <c r="K5" s="14">
        <f>IF(AND(ISNUMBER(Calc_RhV!K5),ISNUMBER(Conv_RhV!K5)),Calc_RhV!K5/Conv_RhV!K5,"n.d.")</f>
        <v>1</v>
      </c>
      <c r="L5" s="14"/>
      <c r="M5" s="14">
        <f>IF(AND(ISNUMBER(Calc_RhV!M5),ISNUMBER(Conv_RhV!M5)),Calc_RhV!M5/Conv_RhV!M5,"n.d.")</f>
        <v>1</v>
      </c>
      <c r="N5" s="14"/>
      <c r="O5" s="14">
        <f>IF(AND(ISNUMBER(Calc_RhV!O5),ISNUMBER(Conv_RhV!O5)),Calc_RhV!O5/Conv_RhV!O5,"n.d.")</f>
        <v>1</v>
      </c>
      <c r="P5" s="14"/>
      <c r="Q5" s="14">
        <f>IF(AND(ISNUMBER(Calc_RhV!Q5),ISNUMBER(Conv_RhV!Q5)),Calc_RhV!Q5/Conv_RhV!Q5,"n.d.")</f>
        <v>1</v>
      </c>
      <c r="R5" s="14"/>
      <c r="S5" s="14">
        <f>IF(AND(ISNUMBER(Calc_RhV!S5),ISNUMBER(Conv_RhV!S5)),Calc_RhV!S5/Conv_RhV!S5,"n.d.")</f>
        <v>1</v>
      </c>
      <c r="T5" s="14"/>
      <c r="U5" s="14">
        <f>IF(AND(ISNUMBER(Calc_RhV!U5),ISNUMBER(Conv_RhV!U5)),Calc_RhV!U5/Conv_RhV!U5,"n.d.")</f>
        <v>1</v>
      </c>
      <c r="V5" s="14"/>
      <c r="W5" s="14">
        <f>IF(AND(ISNUMBER(Calc_RhV!W5),ISNUMBER(Conv_RhV!W5)),Calc_RhV!W5/Conv_RhV!W5,"n.d.")</f>
        <v>1</v>
      </c>
      <c r="X5" s="14"/>
    </row>
    <row r="6" spans="1:24" x14ac:dyDescent="0.25">
      <c r="A6" s="13" t="str">
        <f>Calc_RhV!A6</f>
        <v>ab</v>
      </c>
      <c r="B6" s="13" t="str">
        <f>Calc_RhV!B6</f>
        <v>Padrão (1573a)</v>
      </c>
      <c r="C6" s="14">
        <f>IF(AND(ISNUMBER(Calc_RhV!C6),ISNUMBER(Conv_RhV!C6)),Calc_RhV!C6/Conv_RhV!C6,"n.d.")</f>
        <v>1</v>
      </c>
      <c r="D6" s="14">
        <f>IF(AND(ISNUMBER(Calc_RhV!D6),ISNUMBER(Conv_RhV!D6)),Calc_RhV!D6/Conv_RhV!D6,"n.d.")</f>
        <v>1</v>
      </c>
      <c r="E6" s="14">
        <f>IF(AND(ISNUMBER(Calc_RhV!E6),ISNUMBER(Conv_RhV!E6)),Calc_RhV!E6/Conv_RhV!E6,"n.d.")</f>
        <v>1</v>
      </c>
      <c r="F6" s="14">
        <f>IF(AND(ISNUMBER(Calc_RhV!F6),ISNUMBER(Conv_RhV!F6)),Calc_RhV!F6/Conv_RhV!F6,"n.d.")</f>
        <v>1</v>
      </c>
      <c r="G6" s="14">
        <f>IF(AND(ISNUMBER(Calc_RhV!G6),ISNUMBER(Conv_RhV!G6)),Calc_RhV!G6/Conv_RhV!G6,"n.d.")</f>
        <v>1</v>
      </c>
      <c r="H6" s="14">
        <f>IF(AND(ISNUMBER(Calc_RhV!H6),ISNUMBER(Conv_RhV!H6)),Calc_RhV!H6/Conv_RhV!H6,"n.d.")</f>
        <v>1</v>
      </c>
      <c r="I6" s="14">
        <f>IF(AND(ISNUMBER(Calc_RhV!I6),ISNUMBER(Conv_RhV!I6)),Calc_RhV!I6/Conv_RhV!I6,"n.d.")</f>
        <v>1</v>
      </c>
      <c r="J6" s="14">
        <f>IF(AND(ISNUMBER(Calc_RhV!J6),ISNUMBER(Conv_RhV!J6)),Calc_RhV!J6/Conv_RhV!J6,"n.d.")</f>
        <v>1</v>
      </c>
      <c r="K6" s="14">
        <f>IF(AND(ISNUMBER(Calc_RhV!K6),ISNUMBER(Conv_RhV!K6)),Calc_RhV!K6/Conv_RhV!K6,"n.d.")</f>
        <v>1</v>
      </c>
      <c r="L6" s="14">
        <f>IF(AND(ISNUMBER(Calc_RhV!L6),ISNUMBER(Conv_RhV!L6)),Calc_RhV!L6/Conv_RhV!L6,"n.d.")</f>
        <v>1</v>
      </c>
      <c r="M6" s="14">
        <f>IF(AND(ISNUMBER(Calc_RhV!M6),ISNUMBER(Conv_RhV!M6)),Calc_RhV!M6/Conv_RhV!M6,"n.d.")</f>
        <v>1</v>
      </c>
      <c r="N6" s="14">
        <f>IF(AND(ISNUMBER(Calc_RhV!N6),ISNUMBER(Conv_RhV!N6)),Calc_RhV!N6/Conv_RhV!N6,"n.d.")</f>
        <v>1</v>
      </c>
      <c r="O6" s="14">
        <f>IF(AND(ISNUMBER(Calc_RhV!O6),ISNUMBER(Conv_RhV!O6)),Calc_RhV!O6/Conv_RhV!O6,"n.d.")</f>
        <v>1</v>
      </c>
      <c r="P6" s="14">
        <f>IF(AND(ISNUMBER(Calc_RhV!P6),ISNUMBER(Conv_RhV!P6)),Calc_RhV!P6/Conv_RhV!P6,"n.d.")</f>
        <v>1</v>
      </c>
      <c r="Q6" s="14">
        <f>IF(AND(ISNUMBER(Calc_RhV!Q6),ISNUMBER(Conv_RhV!Q6)),Calc_RhV!Q6/Conv_RhV!Q6,"n.d.")</f>
        <v>1</v>
      </c>
      <c r="R6" s="14">
        <f>IF(AND(ISNUMBER(Calc_RhV!R6),ISNUMBER(Conv_RhV!R6)),Calc_RhV!R6/Conv_RhV!R6,"n.d.")</f>
        <v>1</v>
      </c>
      <c r="S6" s="14">
        <f>IF(AND(ISNUMBER(Calc_RhV!S6),ISNUMBER(Conv_RhV!S6)),Calc_RhV!S6/Conv_RhV!S6,"n.d.")</f>
        <v>1</v>
      </c>
      <c r="T6" s="14">
        <f>IF(AND(ISNUMBER(Calc_RhV!T6),ISNUMBER(Conv_RhV!T6)),Calc_RhV!T6/Conv_RhV!T6,"n.d.")</f>
        <v>1</v>
      </c>
      <c r="U6" s="14">
        <f>IF(AND(ISNUMBER(Calc_RhV!U6),ISNUMBER(Conv_RhV!U6)),Calc_RhV!U6/Conv_RhV!U6,"n.d.")</f>
        <v>1</v>
      </c>
      <c r="V6" s="14">
        <f>IF(AND(ISNUMBER(Calc_RhV!V6),ISNUMBER(Conv_RhV!V6)),Calc_RhV!V6/Conv_RhV!V6,"n.d.")</f>
        <v>1</v>
      </c>
      <c r="W6" s="14">
        <f>IF(AND(ISNUMBER(Calc_RhV!W6),ISNUMBER(Conv_RhV!W6)),Calc_RhV!W6/Conv_RhV!W6,"n.d.")</f>
        <v>1</v>
      </c>
      <c r="X6" s="14">
        <f>IF(AND(ISNUMBER(Calc_RhV!X6),ISNUMBER(Conv_RhV!X6)),Calc_RhV!X6/Conv_RhV!X6,"n.d.")</f>
        <v>1.0000000000000002</v>
      </c>
    </row>
    <row r="7" spans="1:24" x14ac:dyDescent="0.25">
      <c r="A7" s="13" t="str">
        <f>Calc_RhV!A7</f>
        <v>ac</v>
      </c>
      <c r="B7" s="13" t="str">
        <f>Calc_RhV!B7</f>
        <v>R2</v>
      </c>
      <c r="C7" s="14">
        <f>IF(AND(ISNUMBER(Calc_RhV!C7),ISNUMBER(Conv_RhV!C7)),Calc_RhV!C7/Conv_RhV!C7,"n.d.")</f>
        <v>1</v>
      </c>
      <c r="D7" s="14">
        <f>IF(AND(ISNUMBER(Calc_RhV!D7),ISNUMBER(Conv_RhV!D7)),Calc_RhV!D7/Conv_RhV!D7,"n.d.")</f>
        <v>1</v>
      </c>
      <c r="E7" s="14">
        <f>IF(AND(ISNUMBER(Calc_RhV!E7),ISNUMBER(Conv_RhV!E7)),Calc_RhV!E7/Conv_RhV!E7,"n.d.")</f>
        <v>1</v>
      </c>
      <c r="F7" s="14">
        <f>IF(AND(ISNUMBER(Calc_RhV!F7),ISNUMBER(Conv_RhV!F7)),Calc_RhV!F7/Conv_RhV!F7,"n.d.")</f>
        <v>1</v>
      </c>
      <c r="G7" s="14">
        <f>IF(AND(ISNUMBER(Calc_RhV!G7),ISNUMBER(Conv_RhV!G7)),Calc_RhV!G7/Conv_RhV!G7,"n.d.")</f>
        <v>1</v>
      </c>
      <c r="H7" s="14">
        <f>IF(AND(ISNUMBER(Calc_RhV!H7),ISNUMBER(Conv_RhV!H7)),Calc_RhV!H7/Conv_RhV!H7,"n.d.")</f>
        <v>1</v>
      </c>
      <c r="I7" s="14">
        <f>IF(AND(ISNUMBER(Calc_RhV!I7),ISNUMBER(Conv_RhV!I7)),Calc_RhV!I7/Conv_RhV!I7,"n.d.")</f>
        <v>1</v>
      </c>
      <c r="J7" s="14">
        <f>IF(AND(ISNUMBER(Calc_RhV!J7),ISNUMBER(Conv_RhV!J7)),Calc_RhV!J7/Conv_RhV!J7,"n.d.")</f>
        <v>1</v>
      </c>
      <c r="K7" s="14">
        <f>IF(AND(ISNUMBER(Calc_RhV!K7),ISNUMBER(Conv_RhV!K7)),Calc_RhV!K7/Conv_RhV!K7,"n.d.")</f>
        <v>1</v>
      </c>
      <c r="L7" s="14">
        <f>IF(AND(ISNUMBER(Calc_RhV!L7),ISNUMBER(Conv_RhV!L7)),Calc_RhV!L7/Conv_RhV!L7,"n.d.")</f>
        <v>1</v>
      </c>
      <c r="M7" s="14">
        <f>IF(AND(ISNUMBER(Calc_RhV!M7),ISNUMBER(Conv_RhV!M7)),Calc_RhV!M7/Conv_RhV!M7,"n.d.")</f>
        <v>1</v>
      </c>
      <c r="N7" s="14">
        <f>IF(AND(ISNUMBER(Calc_RhV!N7),ISNUMBER(Conv_RhV!N7)),Calc_RhV!N7/Conv_RhV!N7,"n.d.")</f>
        <v>1</v>
      </c>
      <c r="O7" s="14">
        <f>IF(AND(ISNUMBER(Calc_RhV!O7),ISNUMBER(Conv_RhV!O7)),Calc_RhV!O7/Conv_RhV!O7,"n.d.")</f>
        <v>1</v>
      </c>
      <c r="P7" s="14">
        <f>IF(AND(ISNUMBER(Calc_RhV!P7),ISNUMBER(Conv_RhV!P7)),Calc_RhV!P7/Conv_RhV!P7,"n.d.")</f>
        <v>1</v>
      </c>
      <c r="Q7" s="14">
        <f>IF(AND(ISNUMBER(Calc_RhV!Q7),ISNUMBER(Conv_RhV!Q7)),Calc_RhV!Q7/Conv_RhV!Q7,"n.d.")</f>
        <v>1</v>
      </c>
      <c r="R7" s="14">
        <f>IF(AND(ISNUMBER(Calc_RhV!R7),ISNUMBER(Conv_RhV!R7)),Calc_RhV!R7/Conv_RhV!R7,"n.d.")</f>
        <v>1</v>
      </c>
      <c r="S7" s="14">
        <f>IF(AND(ISNUMBER(Calc_RhV!S7),ISNUMBER(Conv_RhV!S7)),Calc_RhV!S7/Conv_RhV!S7,"n.d.")</f>
        <v>1</v>
      </c>
      <c r="T7" s="14">
        <f>IF(AND(ISNUMBER(Calc_RhV!T7),ISNUMBER(Conv_RhV!T7)),Calc_RhV!T7/Conv_RhV!T7,"n.d.")</f>
        <v>1</v>
      </c>
      <c r="U7" s="14">
        <f>IF(AND(ISNUMBER(Calc_RhV!U7),ISNUMBER(Conv_RhV!U7)),Calc_RhV!U7/Conv_RhV!U7,"n.d.")</f>
        <v>1</v>
      </c>
      <c r="V7" s="14">
        <f>IF(AND(ISNUMBER(Calc_RhV!V7),ISNUMBER(Conv_RhV!V7)),Calc_RhV!V7/Conv_RhV!V7,"n.d.")</f>
        <v>1</v>
      </c>
      <c r="W7" s="14">
        <f>IF(AND(ISNUMBER(Calc_RhV!W7),ISNUMBER(Conv_RhV!W7)),Calc_RhV!W7/Conv_RhV!W7,"n.d.")</f>
        <v>1</v>
      </c>
      <c r="X7" s="14">
        <f>IF(AND(ISNUMBER(Calc_RhV!X7),ISNUMBER(Conv_RhV!X7)),Calc_RhV!X7/Conv_RhV!X7,"n.d.")</f>
        <v>1</v>
      </c>
    </row>
    <row r="8" spans="1:24" x14ac:dyDescent="0.25">
      <c r="A8" s="13" t="str">
        <f>Calc_RhV!A8</f>
        <v>ad</v>
      </c>
      <c r="B8" s="13" t="str">
        <f>Calc_RhV!B8</f>
        <v>R3</v>
      </c>
      <c r="C8" s="14">
        <f>IF(AND(ISNUMBER(Calc_RhV!C8),ISNUMBER(Conv_RhV!C8)),Calc_RhV!C8/Conv_RhV!C8,"n.d.")</f>
        <v>1</v>
      </c>
      <c r="D8" s="14">
        <f>IF(AND(ISNUMBER(Calc_RhV!D8),ISNUMBER(Conv_RhV!D8)),Calc_RhV!D8/Conv_RhV!D8,"n.d.")</f>
        <v>1</v>
      </c>
      <c r="E8" s="14">
        <f>IF(AND(ISNUMBER(Calc_RhV!E8),ISNUMBER(Conv_RhV!E8)),Calc_RhV!E8/Conv_RhV!E8,"n.d.")</f>
        <v>1</v>
      </c>
      <c r="F8" s="14">
        <f>IF(AND(ISNUMBER(Calc_RhV!F8),ISNUMBER(Conv_RhV!F8)),Calc_RhV!F8/Conv_RhV!F8,"n.d.")</f>
        <v>1</v>
      </c>
      <c r="G8" s="14">
        <f>IF(AND(ISNUMBER(Calc_RhV!G8),ISNUMBER(Conv_RhV!G8)),Calc_RhV!G8/Conv_RhV!G8,"n.d.")</f>
        <v>1</v>
      </c>
      <c r="H8" s="14">
        <f>IF(AND(ISNUMBER(Calc_RhV!H8),ISNUMBER(Conv_RhV!H8)),Calc_RhV!H8/Conv_RhV!H8,"n.d.")</f>
        <v>1</v>
      </c>
      <c r="I8" s="14">
        <f>IF(AND(ISNUMBER(Calc_RhV!I8),ISNUMBER(Conv_RhV!I8)),Calc_RhV!I8/Conv_RhV!I8,"n.d.")</f>
        <v>1</v>
      </c>
      <c r="J8" s="14">
        <f>IF(AND(ISNUMBER(Calc_RhV!J8),ISNUMBER(Conv_RhV!J8)),Calc_RhV!J8/Conv_RhV!J8,"n.d.")</f>
        <v>1</v>
      </c>
      <c r="K8" s="14">
        <f>IF(AND(ISNUMBER(Calc_RhV!K8),ISNUMBER(Conv_RhV!K8)),Calc_RhV!K8/Conv_RhV!K8,"n.d.")</f>
        <v>1</v>
      </c>
      <c r="L8" s="14">
        <f>IF(AND(ISNUMBER(Calc_RhV!L8),ISNUMBER(Conv_RhV!L8)),Calc_RhV!L8/Conv_RhV!L8,"n.d.")</f>
        <v>1</v>
      </c>
      <c r="M8" s="14">
        <f>IF(AND(ISNUMBER(Calc_RhV!M8),ISNUMBER(Conv_RhV!M8)),Calc_RhV!M8/Conv_RhV!M8,"n.d.")</f>
        <v>1</v>
      </c>
      <c r="N8" s="14">
        <f>IF(AND(ISNUMBER(Calc_RhV!N8),ISNUMBER(Conv_RhV!N8)),Calc_RhV!N8/Conv_RhV!N8,"n.d.")</f>
        <v>1</v>
      </c>
      <c r="O8" s="14">
        <f>IF(AND(ISNUMBER(Calc_RhV!O8),ISNUMBER(Conv_RhV!O8)),Calc_RhV!O8/Conv_RhV!O8,"n.d.")</f>
        <v>1</v>
      </c>
      <c r="P8" s="14">
        <f>IF(AND(ISNUMBER(Calc_RhV!P8),ISNUMBER(Conv_RhV!P8)),Calc_RhV!P8/Conv_RhV!P8,"n.d.")</f>
        <v>1</v>
      </c>
      <c r="Q8" s="14">
        <f>IF(AND(ISNUMBER(Calc_RhV!Q8),ISNUMBER(Conv_RhV!Q8)),Calc_RhV!Q8/Conv_RhV!Q8,"n.d.")</f>
        <v>1</v>
      </c>
      <c r="R8" s="14">
        <f>IF(AND(ISNUMBER(Calc_RhV!R8),ISNUMBER(Conv_RhV!R8)),Calc_RhV!R8/Conv_RhV!R8,"n.d.")</f>
        <v>1</v>
      </c>
      <c r="S8" s="14">
        <f>IF(AND(ISNUMBER(Calc_RhV!S8),ISNUMBER(Conv_RhV!S8)),Calc_RhV!S8/Conv_RhV!S8,"n.d.")</f>
        <v>1</v>
      </c>
      <c r="T8" s="14">
        <f>IF(AND(ISNUMBER(Calc_RhV!T8),ISNUMBER(Conv_RhV!T8)),Calc_RhV!T8/Conv_RhV!T8,"n.d.")</f>
        <v>1</v>
      </c>
      <c r="U8" s="14" t="str">
        <f>IF(AND(ISNUMBER(Calc_RhV!U8),ISNUMBER(Conv_RhV!U8)),Calc_RhV!U8/Conv_RhV!U8,"n.d.")</f>
        <v>n.d.</v>
      </c>
      <c r="V8" s="14" t="str">
        <f>IF(AND(ISNUMBER(Calc_RhV!V8),ISNUMBER(Conv_RhV!V8)),Calc_RhV!V8/Conv_RhV!V8,"n.d.")</f>
        <v>n.d.</v>
      </c>
      <c r="W8" s="14">
        <f>IF(AND(ISNUMBER(Calc_RhV!W8),ISNUMBER(Conv_RhV!W8)),Calc_RhV!W8/Conv_RhV!W8,"n.d.")</f>
        <v>1</v>
      </c>
      <c r="X8" s="14">
        <f>IF(AND(ISNUMBER(Calc_RhV!X8),ISNUMBER(Conv_RhV!X8)),Calc_RhV!X8/Conv_RhV!X8,"n.d.")</f>
        <v>0.99999999999999989</v>
      </c>
    </row>
    <row r="9" spans="1:24" x14ac:dyDescent="0.25">
      <c r="A9" s="13" t="str">
        <f>Calc_RhV!A9</f>
        <v>ae</v>
      </c>
      <c r="B9" s="13" t="str">
        <f>Calc_RhV!B9</f>
        <v>R4</v>
      </c>
      <c r="C9" s="14">
        <f>IF(AND(ISNUMBER(Calc_RhV!C9),ISNUMBER(Conv_RhV!C9)),Calc_RhV!C9/Conv_RhV!C9,"n.d.")</f>
        <v>1</v>
      </c>
      <c r="D9" s="14">
        <f>IF(AND(ISNUMBER(Calc_RhV!D9),ISNUMBER(Conv_RhV!D9)),Calc_RhV!D9/Conv_RhV!D9,"n.d.")</f>
        <v>1</v>
      </c>
      <c r="E9" s="14">
        <f>IF(AND(ISNUMBER(Calc_RhV!E9),ISNUMBER(Conv_RhV!E9)),Calc_RhV!E9/Conv_RhV!E9,"n.d.")</f>
        <v>1</v>
      </c>
      <c r="F9" s="14">
        <f>IF(AND(ISNUMBER(Calc_RhV!F9),ISNUMBER(Conv_RhV!F9)),Calc_RhV!F9/Conv_RhV!F9,"n.d.")</f>
        <v>1</v>
      </c>
      <c r="G9" s="14">
        <f>IF(AND(ISNUMBER(Calc_RhV!G9),ISNUMBER(Conv_RhV!G9)),Calc_RhV!G9/Conv_RhV!G9,"n.d.")</f>
        <v>1</v>
      </c>
      <c r="H9" s="14">
        <f>IF(AND(ISNUMBER(Calc_RhV!H9),ISNUMBER(Conv_RhV!H9)),Calc_RhV!H9/Conv_RhV!H9,"n.d.")</f>
        <v>1</v>
      </c>
      <c r="I9" s="14">
        <f>IF(AND(ISNUMBER(Calc_RhV!I9),ISNUMBER(Conv_RhV!I9)),Calc_RhV!I9/Conv_RhV!I9,"n.d.")</f>
        <v>1</v>
      </c>
      <c r="J9" s="14">
        <f>IF(AND(ISNUMBER(Calc_RhV!J9),ISNUMBER(Conv_RhV!J9)),Calc_RhV!J9/Conv_RhV!J9,"n.d.")</f>
        <v>1</v>
      </c>
      <c r="K9" s="14">
        <f>IF(AND(ISNUMBER(Calc_RhV!K9),ISNUMBER(Conv_RhV!K9)),Calc_RhV!K9/Conv_RhV!K9,"n.d.")</f>
        <v>1</v>
      </c>
      <c r="L9" s="14">
        <f>IF(AND(ISNUMBER(Calc_RhV!L9),ISNUMBER(Conv_RhV!L9)),Calc_RhV!L9/Conv_RhV!L9,"n.d.")</f>
        <v>1</v>
      </c>
      <c r="M9" s="14">
        <f>IF(AND(ISNUMBER(Calc_RhV!M9),ISNUMBER(Conv_RhV!M9)),Calc_RhV!M9/Conv_RhV!M9,"n.d.")</f>
        <v>1</v>
      </c>
      <c r="N9" s="14">
        <f>IF(AND(ISNUMBER(Calc_RhV!N9),ISNUMBER(Conv_RhV!N9)),Calc_RhV!N9/Conv_RhV!N9,"n.d.")</f>
        <v>1</v>
      </c>
      <c r="O9" s="14">
        <f>IF(AND(ISNUMBER(Calc_RhV!O9),ISNUMBER(Conv_RhV!O9)),Calc_RhV!O9/Conv_RhV!O9,"n.d.")</f>
        <v>1</v>
      </c>
      <c r="P9" s="14">
        <f>IF(AND(ISNUMBER(Calc_RhV!P9),ISNUMBER(Conv_RhV!P9)),Calc_RhV!P9/Conv_RhV!P9,"n.d.")</f>
        <v>1</v>
      </c>
      <c r="Q9" s="14">
        <f>IF(AND(ISNUMBER(Calc_RhV!Q9),ISNUMBER(Conv_RhV!Q9)),Calc_RhV!Q9/Conv_RhV!Q9,"n.d.")</f>
        <v>1</v>
      </c>
      <c r="R9" s="14">
        <f>IF(AND(ISNUMBER(Calc_RhV!R9),ISNUMBER(Conv_RhV!R9)),Calc_RhV!R9/Conv_RhV!R9,"n.d.")</f>
        <v>1</v>
      </c>
      <c r="S9" s="14">
        <f>IF(AND(ISNUMBER(Calc_RhV!S9),ISNUMBER(Conv_RhV!S9)),Calc_RhV!S9/Conv_RhV!S9,"n.d.")</f>
        <v>1</v>
      </c>
      <c r="T9" s="14">
        <f>IF(AND(ISNUMBER(Calc_RhV!T9),ISNUMBER(Conv_RhV!T9)),Calc_RhV!T9/Conv_RhV!T9,"n.d.")</f>
        <v>1</v>
      </c>
      <c r="U9" s="14" t="str">
        <f>IF(AND(ISNUMBER(Calc_RhV!U9),ISNUMBER(Conv_RhV!U9)),Calc_RhV!U9/Conv_RhV!U9,"n.d.")</f>
        <v>n.d.</v>
      </c>
      <c r="V9" s="14" t="str">
        <f>IF(AND(ISNUMBER(Calc_RhV!V9),ISNUMBER(Conv_RhV!V9)),Calc_RhV!V9/Conv_RhV!V9,"n.d.")</f>
        <v>n.d.</v>
      </c>
      <c r="W9" s="14">
        <f>IF(AND(ISNUMBER(Calc_RhV!W9),ISNUMBER(Conv_RhV!W9)),Calc_RhV!W9/Conv_RhV!W9,"n.d.")</f>
        <v>1</v>
      </c>
      <c r="X9" s="14">
        <f>IF(AND(ISNUMBER(Calc_RhV!X9),ISNUMBER(Conv_RhV!X9)),Calc_RhV!X9/Conv_RhV!X9,"n.d.")</f>
        <v>1</v>
      </c>
    </row>
    <row r="10" spans="1:24" x14ac:dyDescent="0.25">
      <c r="A10" s="13" t="str">
        <f>Calc_RhV!A10</f>
        <v>af</v>
      </c>
      <c r="B10" s="13" t="str">
        <f>Calc_RhV!B10</f>
        <v>R5</v>
      </c>
      <c r="C10" s="14">
        <f>IF(AND(ISNUMBER(Calc_RhV!C10),ISNUMBER(Conv_RhV!C10)),Calc_RhV!C10/Conv_RhV!C10,"n.d.")</f>
        <v>1</v>
      </c>
      <c r="D10" s="14">
        <f>IF(AND(ISNUMBER(Calc_RhV!D10),ISNUMBER(Conv_RhV!D10)),Calc_RhV!D10/Conv_RhV!D10,"n.d.")</f>
        <v>1</v>
      </c>
      <c r="E10" s="14">
        <f>IF(AND(ISNUMBER(Calc_RhV!E10),ISNUMBER(Conv_RhV!E10)),Calc_RhV!E10/Conv_RhV!E10,"n.d.")</f>
        <v>1</v>
      </c>
      <c r="F10" s="14">
        <f>IF(AND(ISNUMBER(Calc_RhV!F10),ISNUMBER(Conv_RhV!F10)),Calc_RhV!F10/Conv_RhV!F10,"n.d.")</f>
        <v>1</v>
      </c>
      <c r="G10" s="14">
        <f>IF(AND(ISNUMBER(Calc_RhV!G10),ISNUMBER(Conv_RhV!G10)),Calc_RhV!G10/Conv_RhV!G10,"n.d.")</f>
        <v>1</v>
      </c>
      <c r="H10" s="14">
        <f>IF(AND(ISNUMBER(Calc_RhV!H10),ISNUMBER(Conv_RhV!H10)),Calc_RhV!H10/Conv_RhV!H10,"n.d.")</f>
        <v>1</v>
      </c>
      <c r="I10" s="14">
        <f>IF(AND(ISNUMBER(Calc_RhV!I10),ISNUMBER(Conv_RhV!I10)),Calc_RhV!I10/Conv_RhV!I10,"n.d.")</f>
        <v>1</v>
      </c>
      <c r="J10" s="14">
        <f>IF(AND(ISNUMBER(Calc_RhV!J10),ISNUMBER(Conv_RhV!J10)),Calc_RhV!J10/Conv_RhV!J10,"n.d.")</f>
        <v>1</v>
      </c>
      <c r="K10" s="14">
        <f>IF(AND(ISNUMBER(Calc_RhV!K10),ISNUMBER(Conv_RhV!K10)),Calc_RhV!K10/Conv_RhV!K10,"n.d.")</f>
        <v>1</v>
      </c>
      <c r="L10" s="14">
        <f>IF(AND(ISNUMBER(Calc_RhV!L10),ISNUMBER(Conv_RhV!L10)),Calc_RhV!L10/Conv_RhV!L10,"n.d.")</f>
        <v>1</v>
      </c>
      <c r="M10" s="14">
        <f>IF(AND(ISNUMBER(Calc_RhV!M10),ISNUMBER(Conv_RhV!M10)),Calc_RhV!M10/Conv_RhV!M10,"n.d.")</f>
        <v>1</v>
      </c>
      <c r="N10" s="14">
        <f>IF(AND(ISNUMBER(Calc_RhV!N10),ISNUMBER(Conv_RhV!N10)),Calc_RhV!N10/Conv_RhV!N10,"n.d.")</f>
        <v>1</v>
      </c>
      <c r="O10" s="14">
        <f>IF(AND(ISNUMBER(Calc_RhV!O10),ISNUMBER(Conv_RhV!O10)),Calc_RhV!O10/Conv_RhV!O10,"n.d.")</f>
        <v>1</v>
      </c>
      <c r="P10" s="14">
        <f>IF(AND(ISNUMBER(Calc_RhV!P10),ISNUMBER(Conv_RhV!P10)),Calc_RhV!P10/Conv_RhV!P10,"n.d.")</f>
        <v>1</v>
      </c>
      <c r="Q10" s="14">
        <f>IF(AND(ISNUMBER(Calc_RhV!Q10),ISNUMBER(Conv_RhV!Q10)),Calc_RhV!Q10/Conv_RhV!Q10,"n.d.")</f>
        <v>1</v>
      </c>
      <c r="R10" s="14">
        <f>IF(AND(ISNUMBER(Calc_RhV!R10),ISNUMBER(Conv_RhV!R10)),Calc_RhV!R10/Conv_RhV!R10,"n.d.")</f>
        <v>1</v>
      </c>
      <c r="S10" s="14">
        <f>IF(AND(ISNUMBER(Calc_RhV!S10),ISNUMBER(Conv_RhV!S10)),Calc_RhV!S10/Conv_RhV!S10,"n.d.")</f>
        <v>1</v>
      </c>
      <c r="T10" s="14">
        <f>IF(AND(ISNUMBER(Calc_RhV!T10),ISNUMBER(Conv_RhV!T10)),Calc_RhV!T10/Conv_RhV!T10,"n.d.")</f>
        <v>1</v>
      </c>
      <c r="U10" s="14" t="str">
        <f>IF(AND(ISNUMBER(Calc_RhV!U10),ISNUMBER(Conv_RhV!U10)),Calc_RhV!U10/Conv_RhV!U10,"n.d.")</f>
        <v>n.d.</v>
      </c>
      <c r="V10" s="14" t="str">
        <f>IF(AND(ISNUMBER(Calc_RhV!V10),ISNUMBER(Conv_RhV!V10)),Calc_RhV!V10/Conv_RhV!V10,"n.d.")</f>
        <v>n.d.</v>
      </c>
      <c r="W10" s="14">
        <f>IF(AND(ISNUMBER(Calc_RhV!W10),ISNUMBER(Conv_RhV!W10)),Calc_RhV!W10/Conv_RhV!W10,"n.d.")</f>
        <v>1</v>
      </c>
      <c r="X10" s="14">
        <f>IF(AND(ISNUMBER(Calc_RhV!X10),ISNUMBER(Conv_RhV!X10)),Calc_RhV!X10/Conv_RhV!X10,"n.d.")</f>
        <v>1</v>
      </c>
    </row>
    <row r="11" spans="1:24" x14ac:dyDescent="0.25">
      <c r="A11" s="13" t="str">
        <f>Calc_RhV!A11</f>
        <v>ag</v>
      </c>
      <c r="B11" s="13" t="str">
        <f>Calc_RhV!B11</f>
        <v>R6</v>
      </c>
      <c r="C11" s="14">
        <f>IF(AND(ISNUMBER(Calc_RhV!C11),ISNUMBER(Conv_RhV!C11)),Calc_RhV!C11/Conv_RhV!C11,"n.d.")</f>
        <v>1</v>
      </c>
      <c r="D11" s="14">
        <f>IF(AND(ISNUMBER(Calc_RhV!D11),ISNUMBER(Conv_RhV!D11)),Calc_RhV!D11/Conv_RhV!D11,"n.d.")</f>
        <v>1</v>
      </c>
      <c r="E11" s="14">
        <f>IF(AND(ISNUMBER(Calc_RhV!E11),ISNUMBER(Conv_RhV!E11)),Calc_RhV!E11/Conv_RhV!E11,"n.d.")</f>
        <v>1</v>
      </c>
      <c r="F11" s="14">
        <f>IF(AND(ISNUMBER(Calc_RhV!F11),ISNUMBER(Conv_RhV!F11)),Calc_RhV!F11/Conv_RhV!F11,"n.d.")</f>
        <v>1</v>
      </c>
      <c r="G11" s="14">
        <f>IF(AND(ISNUMBER(Calc_RhV!G11),ISNUMBER(Conv_RhV!G11)),Calc_RhV!G11/Conv_RhV!G11,"n.d.")</f>
        <v>1</v>
      </c>
      <c r="H11" s="14">
        <f>IF(AND(ISNUMBER(Calc_RhV!H11),ISNUMBER(Conv_RhV!H11)),Calc_RhV!H11/Conv_RhV!H11,"n.d.")</f>
        <v>1</v>
      </c>
      <c r="I11" s="14">
        <f>IF(AND(ISNUMBER(Calc_RhV!I11),ISNUMBER(Conv_RhV!I11)),Calc_RhV!I11/Conv_RhV!I11,"n.d.")</f>
        <v>1</v>
      </c>
      <c r="J11" s="14">
        <f>IF(AND(ISNUMBER(Calc_RhV!J11),ISNUMBER(Conv_RhV!J11)),Calc_RhV!J11/Conv_RhV!J11,"n.d.")</f>
        <v>1</v>
      </c>
      <c r="K11" s="14">
        <f>IF(AND(ISNUMBER(Calc_RhV!K11),ISNUMBER(Conv_RhV!K11)),Calc_RhV!K11/Conv_RhV!K11,"n.d.")</f>
        <v>1</v>
      </c>
      <c r="L11" s="14">
        <f>IF(AND(ISNUMBER(Calc_RhV!L11),ISNUMBER(Conv_RhV!L11)),Calc_RhV!L11/Conv_RhV!L11,"n.d.")</f>
        <v>1</v>
      </c>
      <c r="M11" s="14">
        <f>IF(AND(ISNUMBER(Calc_RhV!M11),ISNUMBER(Conv_RhV!M11)),Calc_RhV!M11/Conv_RhV!M11,"n.d.")</f>
        <v>1</v>
      </c>
      <c r="N11" s="14">
        <f>IF(AND(ISNUMBER(Calc_RhV!N11),ISNUMBER(Conv_RhV!N11)),Calc_RhV!N11/Conv_RhV!N11,"n.d.")</f>
        <v>1</v>
      </c>
      <c r="O11" s="14">
        <f>IF(AND(ISNUMBER(Calc_RhV!O11),ISNUMBER(Conv_RhV!O11)),Calc_RhV!O11/Conv_RhV!O11,"n.d.")</f>
        <v>1</v>
      </c>
      <c r="P11" s="14">
        <f>IF(AND(ISNUMBER(Calc_RhV!P11),ISNUMBER(Conv_RhV!P11)),Calc_RhV!P11/Conv_RhV!P11,"n.d.")</f>
        <v>1</v>
      </c>
      <c r="Q11" s="14">
        <f>IF(AND(ISNUMBER(Calc_RhV!Q11),ISNUMBER(Conv_RhV!Q11)),Calc_RhV!Q11/Conv_RhV!Q11,"n.d.")</f>
        <v>1</v>
      </c>
      <c r="R11" s="14">
        <f>IF(AND(ISNUMBER(Calc_RhV!R11),ISNUMBER(Conv_RhV!R11)),Calc_RhV!R11/Conv_RhV!R11,"n.d.")</f>
        <v>1</v>
      </c>
      <c r="S11" s="14">
        <f>IF(AND(ISNUMBER(Calc_RhV!S11),ISNUMBER(Conv_RhV!S11)),Calc_RhV!S11/Conv_RhV!S11,"n.d.")</f>
        <v>1</v>
      </c>
      <c r="T11" s="14">
        <f>IF(AND(ISNUMBER(Calc_RhV!T11),ISNUMBER(Conv_RhV!T11)),Calc_RhV!T11/Conv_RhV!T11,"n.d.")</f>
        <v>1</v>
      </c>
      <c r="U11" s="14">
        <f>IF(AND(ISNUMBER(Calc_RhV!U11),ISNUMBER(Conv_RhV!U11)),Calc_RhV!U11/Conv_RhV!U11,"n.d.")</f>
        <v>1</v>
      </c>
      <c r="V11" s="14">
        <f>IF(AND(ISNUMBER(Calc_RhV!V11),ISNUMBER(Conv_RhV!V11)),Calc_RhV!V11/Conv_RhV!V11,"n.d.")</f>
        <v>1</v>
      </c>
      <c r="W11" s="14">
        <f>IF(AND(ISNUMBER(Calc_RhV!W11),ISNUMBER(Conv_RhV!W11)),Calc_RhV!W11/Conv_RhV!W11,"n.d.")</f>
        <v>1</v>
      </c>
      <c r="X11" s="14">
        <f>IF(AND(ISNUMBER(Calc_RhV!X11),ISNUMBER(Conv_RhV!X11)),Calc_RhV!X11/Conv_RhV!X11,"n.d.")</f>
        <v>1</v>
      </c>
    </row>
    <row r="12" spans="1:24" x14ac:dyDescent="0.25">
      <c r="A12" s="13" t="str">
        <f>Calc_RhV!A12</f>
        <v>ah</v>
      </c>
      <c r="B12" s="13" t="str">
        <f>Calc_RhV!B12</f>
        <v>R7</v>
      </c>
      <c r="C12" s="14">
        <f>IF(AND(ISNUMBER(Calc_RhV!C12),ISNUMBER(Conv_RhV!C12)),Calc_RhV!C12/Conv_RhV!C12,"n.d.")</f>
        <v>1</v>
      </c>
      <c r="D12" s="14">
        <f>IF(AND(ISNUMBER(Calc_RhV!D12),ISNUMBER(Conv_RhV!D12)),Calc_RhV!D12/Conv_RhV!D12,"n.d.")</f>
        <v>1</v>
      </c>
      <c r="E12" s="14">
        <f>IF(AND(ISNUMBER(Calc_RhV!E12),ISNUMBER(Conv_RhV!E12)),Calc_RhV!E12/Conv_RhV!E12,"n.d.")</f>
        <v>1</v>
      </c>
      <c r="F12" s="14">
        <f>IF(AND(ISNUMBER(Calc_RhV!F12),ISNUMBER(Conv_RhV!F12)),Calc_RhV!F12/Conv_RhV!F12,"n.d.")</f>
        <v>1</v>
      </c>
      <c r="G12" s="14">
        <f>IF(AND(ISNUMBER(Calc_RhV!G12),ISNUMBER(Conv_RhV!G12)),Calc_RhV!G12/Conv_RhV!G12,"n.d.")</f>
        <v>1</v>
      </c>
      <c r="H12" s="14">
        <f>IF(AND(ISNUMBER(Calc_RhV!H12),ISNUMBER(Conv_RhV!H12)),Calc_RhV!H12/Conv_RhV!H12,"n.d.")</f>
        <v>1</v>
      </c>
      <c r="I12" s="14">
        <f>IF(AND(ISNUMBER(Calc_RhV!I12),ISNUMBER(Conv_RhV!I12)),Calc_RhV!I12/Conv_RhV!I12,"n.d.")</f>
        <v>1</v>
      </c>
      <c r="J12" s="14">
        <f>IF(AND(ISNUMBER(Calc_RhV!J12),ISNUMBER(Conv_RhV!J12)),Calc_RhV!J12/Conv_RhV!J12,"n.d.")</f>
        <v>1</v>
      </c>
      <c r="K12" s="14">
        <f>IF(AND(ISNUMBER(Calc_RhV!K12),ISNUMBER(Conv_RhV!K12)),Calc_RhV!K12/Conv_RhV!K12,"n.d.")</f>
        <v>1</v>
      </c>
      <c r="L12" s="14">
        <f>IF(AND(ISNUMBER(Calc_RhV!L12),ISNUMBER(Conv_RhV!L12)),Calc_RhV!L12/Conv_RhV!L12,"n.d.")</f>
        <v>1</v>
      </c>
      <c r="M12" s="14">
        <f>IF(AND(ISNUMBER(Calc_RhV!M12),ISNUMBER(Conv_RhV!M12)),Calc_RhV!M12/Conv_RhV!M12,"n.d.")</f>
        <v>1</v>
      </c>
      <c r="N12" s="14">
        <f>IF(AND(ISNUMBER(Calc_RhV!N12),ISNUMBER(Conv_RhV!N12)),Calc_RhV!N12/Conv_RhV!N12,"n.d.")</f>
        <v>1</v>
      </c>
      <c r="O12" s="14">
        <f>IF(AND(ISNUMBER(Calc_RhV!O12),ISNUMBER(Conv_RhV!O12)),Calc_RhV!O12/Conv_RhV!O12,"n.d.")</f>
        <v>1</v>
      </c>
      <c r="P12" s="14">
        <f>IF(AND(ISNUMBER(Calc_RhV!P12),ISNUMBER(Conv_RhV!P12)),Calc_RhV!P12/Conv_RhV!P12,"n.d.")</f>
        <v>1</v>
      </c>
      <c r="Q12" s="14">
        <f>IF(AND(ISNUMBER(Calc_RhV!Q12),ISNUMBER(Conv_RhV!Q12)),Calc_RhV!Q12/Conv_RhV!Q12,"n.d.")</f>
        <v>1</v>
      </c>
      <c r="R12" s="14">
        <f>IF(AND(ISNUMBER(Calc_RhV!R12),ISNUMBER(Conv_RhV!R12)),Calc_RhV!R12/Conv_RhV!R12,"n.d.")</f>
        <v>1</v>
      </c>
      <c r="S12" s="14">
        <f>IF(AND(ISNUMBER(Calc_RhV!S12),ISNUMBER(Conv_RhV!S12)),Calc_RhV!S12/Conv_RhV!S12,"n.d.")</f>
        <v>1</v>
      </c>
      <c r="T12" s="14">
        <f>IF(AND(ISNUMBER(Calc_RhV!T12),ISNUMBER(Conv_RhV!T12)),Calc_RhV!T12/Conv_RhV!T12,"n.d.")</f>
        <v>1</v>
      </c>
      <c r="U12" s="14">
        <f>IF(AND(ISNUMBER(Calc_RhV!U12),ISNUMBER(Conv_RhV!U12)),Calc_RhV!U12/Conv_RhV!U12,"n.d.")</f>
        <v>1</v>
      </c>
      <c r="V12" s="14">
        <f>IF(AND(ISNUMBER(Calc_RhV!V12),ISNUMBER(Conv_RhV!V12)),Calc_RhV!V12/Conv_RhV!V12,"n.d.")</f>
        <v>1</v>
      </c>
      <c r="W12" s="14">
        <f>IF(AND(ISNUMBER(Calc_RhV!W12),ISNUMBER(Conv_RhV!W12)),Calc_RhV!W12/Conv_RhV!W12,"n.d.")</f>
        <v>1</v>
      </c>
      <c r="X12" s="14">
        <f>IF(AND(ISNUMBER(Calc_RhV!X12),ISNUMBER(Conv_RhV!X12)),Calc_RhV!X12/Conv_RhV!X12,"n.d.")</f>
        <v>1</v>
      </c>
    </row>
    <row r="13" spans="1:24" x14ac:dyDescent="0.25">
      <c r="A13" s="13" t="str">
        <f>Calc_RhV!A13</f>
        <v>ai</v>
      </c>
      <c r="B13" s="13" t="str">
        <f>Calc_RhV!B13</f>
        <v>R8</v>
      </c>
      <c r="C13" s="14">
        <f>IF(AND(ISNUMBER(Calc_RhV!C13),ISNUMBER(Conv_RhV!C13)),Calc_RhV!C13/Conv_RhV!C13,"n.d.")</f>
        <v>1</v>
      </c>
      <c r="D13" s="14">
        <f>IF(AND(ISNUMBER(Calc_RhV!D13),ISNUMBER(Conv_RhV!D13)),Calc_RhV!D13/Conv_RhV!D13,"n.d.")</f>
        <v>1</v>
      </c>
      <c r="E13" s="14">
        <f>IF(AND(ISNUMBER(Calc_RhV!E13),ISNUMBER(Conv_RhV!E13)),Calc_RhV!E13/Conv_RhV!E13,"n.d.")</f>
        <v>1</v>
      </c>
      <c r="F13" s="14">
        <f>IF(AND(ISNUMBER(Calc_RhV!F13),ISNUMBER(Conv_RhV!F13)),Calc_RhV!F13/Conv_RhV!F13,"n.d.")</f>
        <v>1</v>
      </c>
      <c r="G13" s="14">
        <f>IF(AND(ISNUMBER(Calc_RhV!G13),ISNUMBER(Conv_RhV!G13)),Calc_RhV!G13/Conv_RhV!G13,"n.d.")</f>
        <v>1</v>
      </c>
      <c r="H13" s="14">
        <f>IF(AND(ISNUMBER(Calc_RhV!H13),ISNUMBER(Conv_RhV!H13)),Calc_RhV!H13/Conv_RhV!H13,"n.d.")</f>
        <v>1</v>
      </c>
      <c r="I13" s="14">
        <f>IF(AND(ISNUMBER(Calc_RhV!I13),ISNUMBER(Conv_RhV!I13)),Calc_RhV!I13/Conv_RhV!I13,"n.d.")</f>
        <v>1</v>
      </c>
      <c r="J13" s="14">
        <f>IF(AND(ISNUMBER(Calc_RhV!J13),ISNUMBER(Conv_RhV!J13)),Calc_RhV!J13/Conv_RhV!J13,"n.d.")</f>
        <v>1</v>
      </c>
      <c r="K13" s="14">
        <f>IF(AND(ISNUMBER(Calc_RhV!K13),ISNUMBER(Conv_RhV!K13)),Calc_RhV!K13/Conv_RhV!K13,"n.d.")</f>
        <v>1</v>
      </c>
      <c r="L13" s="14">
        <f>IF(AND(ISNUMBER(Calc_RhV!L13),ISNUMBER(Conv_RhV!L13)),Calc_RhV!L13/Conv_RhV!L13,"n.d.")</f>
        <v>1</v>
      </c>
      <c r="M13" s="14">
        <f>IF(AND(ISNUMBER(Calc_RhV!M13),ISNUMBER(Conv_RhV!M13)),Calc_RhV!M13/Conv_RhV!M13,"n.d.")</f>
        <v>1</v>
      </c>
      <c r="N13" s="14">
        <f>IF(AND(ISNUMBER(Calc_RhV!N13),ISNUMBER(Conv_RhV!N13)),Calc_RhV!N13/Conv_RhV!N13,"n.d.")</f>
        <v>1</v>
      </c>
      <c r="O13" s="14">
        <f>IF(AND(ISNUMBER(Calc_RhV!O13),ISNUMBER(Conv_RhV!O13)),Calc_RhV!O13/Conv_RhV!O13,"n.d.")</f>
        <v>1</v>
      </c>
      <c r="P13" s="14">
        <f>IF(AND(ISNUMBER(Calc_RhV!P13),ISNUMBER(Conv_RhV!P13)),Calc_RhV!P13/Conv_RhV!P13,"n.d.")</f>
        <v>1</v>
      </c>
      <c r="Q13" s="14">
        <f>IF(AND(ISNUMBER(Calc_RhV!Q13),ISNUMBER(Conv_RhV!Q13)),Calc_RhV!Q13/Conv_RhV!Q13,"n.d.")</f>
        <v>1</v>
      </c>
      <c r="R13" s="14">
        <f>IF(AND(ISNUMBER(Calc_RhV!R13),ISNUMBER(Conv_RhV!R13)),Calc_RhV!R13/Conv_RhV!R13,"n.d.")</f>
        <v>1</v>
      </c>
      <c r="S13" s="14">
        <f>IF(AND(ISNUMBER(Calc_RhV!S13),ISNUMBER(Conv_RhV!S13)),Calc_RhV!S13/Conv_RhV!S13,"n.d.")</f>
        <v>1</v>
      </c>
      <c r="T13" s="14">
        <f>IF(AND(ISNUMBER(Calc_RhV!T13),ISNUMBER(Conv_RhV!T13)),Calc_RhV!T13/Conv_RhV!T13,"n.d.")</f>
        <v>1</v>
      </c>
      <c r="U13" s="14">
        <f>IF(AND(ISNUMBER(Calc_RhV!U13),ISNUMBER(Conv_RhV!U13)),Calc_RhV!U13/Conv_RhV!U13,"n.d.")</f>
        <v>1</v>
      </c>
      <c r="V13" s="14">
        <f>IF(AND(ISNUMBER(Calc_RhV!V13),ISNUMBER(Conv_RhV!V13)),Calc_RhV!V13/Conv_RhV!V13,"n.d.")</f>
        <v>1</v>
      </c>
      <c r="W13" s="14">
        <f>IF(AND(ISNUMBER(Calc_RhV!W13),ISNUMBER(Conv_RhV!W13)),Calc_RhV!W13/Conv_RhV!W13,"n.d.")</f>
        <v>1</v>
      </c>
      <c r="X13" s="14">
        <f>IF(AND(ISNUMBER(Calc_RhV!X13),ISNUMBER(Conv_RhV!X13)),Calc_RhV!X13/Conv_RhV!X13,"n.d.")</f>
        <v>1</v>
      </c>
    </row>
    <row r="14" spans="1:24" x14ac:dyDescent="0.25">
      <c r="A14" s="13" t="str">
        <f>Calc_RhV!A14</f>
        <v>aj</v>
      </c>
      <c r="B14" s="13" t="str">
        <f>Calc_RhV!B14</f>
        <v>R9</v>
      </c>
      <c r="C14" s="14">
        <f>IF(AND(ISNUMBER(Calc_RhV!C14),ISNUMBER(Conv_RhV!C14)),Calc_RhV!C14/Conv_RhV!C14,"n.d.")</f>
        <v>1</v>
      </c>
      <c r="D14" s="14">
        <f>IF(AND(ISNUMBER(Calc_RhV!D14),ISNUMBER(Conv_RhV!D14)),Calc_RhV!D14/Conv_RhV!D14,"n.d.")</f>
        <v>1</v>
      </c>
      <c r="E14" s="14">
        <f>IF(AND(ISNUMBER(Calc_RhV!E14),ISNUMBER(Conv_RhV!E14)),Calc_RhV!E14/Conv_RhV!E14,"n.d.")</f>
        <v>1</v>
      </c>
      <c r="F14" s="14">
        <f>IF(AND(ISNUMBER(Calc_RhV!F14),ISNUMBER(Conv_RhV!F14)),Calc_RhV!F14/Conv_RhV!F14,"n.d.")</f>
        <v>1</v>
      </c>
      <c r="G14" s="14">
        <f>IF(AND(ISNUMBER(Calc_RhV!G14),ISNUMBER(Conv_RhV!G14)),Calc_RhV!G14/Conv_RhV!G14,"n.d.")</f>
        <v>1</v>
      </c>
      <c r="H14" s="14">
        <f>IF(AND(ISNUMBER(Calc_RhV!H14),ISNUMBER(Conv_RhV!H14)),Calc_RhV!H14/Conv_RhV!H14,"n.d.")</f>
        <v>1</v>
      </c>
      <c r="I14" s="14">
        <f>IF(AND(ISNUMBER(Calc_RhV!I14),ISNUMBER(Conv_RhV!I14)),Calc_RhV!I14/Conv_RhV!I14,"n.d.")</f>
        <v>1</v>
      </c>
      <c r="J14" s="14">
        <f>IF(AND(ISNUMBER(Calc_RhV!J14),ISNUMBER(Conv_RhV!J14)),Calc_RhV!J14/Conv_RhV!J14,"n.d.")</f>
        <v>1</v>
      </c>
      <c r="K14" s="14">
        <f>IF(AND(ISNUMBER(Calc_RhV!K14),ISNUMBER(Conv_RhV!K14)),Calc_RhV!K14/Conv_RhV!K14,"n.d.")</f>
        <v>1</v>
      </c>
      <c r="L14" s="14">
        <f>IF(AND(ISNUMBER(Calc_RhV!L14),ISNUMBER(Conv_RhV!L14)),Calc_RhV!L14/Conv_RhV!L14,"n.d.")</f>
        <v>1</v>
      </c>
      <c r="M14" s="14">
        <f>IF(AND(ISNUMBER(Calc_RhV!M14),ISNUMBER(Conv_RhV!M14)),Calc_RhV!M14/Conv_RhV!M14,"n.d.")</f>
        <v>1</v>
      </c>
      <c r="N14" s="14">
        <f>IF(AND(ISNUMBER(Calc_RhV!N14),ISNUMBER(Conv_RhV!N14)),Calc_RhV!N14/Conv_RhV!N14,"n.d.")</f>
        <v>1</v>
      </c>
      <c r="O14" s="14">
        <f>IF(AND(ISNUMBER(Calc_RhV!O14),ISNUMBER(Conv_RhV!O14)),Calc_RhV!O14/Conv_RhV!O14,"n.d.")</f>
        <v>1</v>
      </c>
      <c r="P14" s="14">
        <f>IF(AND(ISNUMBER(Calc_RhV!P14),ISNUMBER(Conv_RhV!P14)),Calc_RhV!P14/Conv_RhV!P14,"n.d.")</f>
        <v>1</v>
      </c>
      <c r="Q14" s="14">
        <f>IF(AND(ISNUMBER(Calc_RhV!Q14),ISNUMBER(Conv_RhV!Q14)),Calc_RhV!Q14/Conv_RhV!Q14,"n.d.")</f>
        <v>1</v>
      </c>
      <c r="R14" s="14">
        <f>IF(AND(ISNUMBER(Calc_RhV!R14),ISNUMBER(Conv_RhV!R14)),Calc_RhV!R14/Conv_RhV!R14,"n.d.")</f>
        <v>1</v>
      </c>
      <c r="S14" s="14">
        <f>IF(AND(ISNUMBER(Calc_RhV!S14),ISNUMBER(Conv_RhV!S14)),Calc_RhV!S14/Conv_RhV!S14,"n.d.")</f>
        <v>1</v>
      </c>
      <c r="T14" s="14">
        <f>IF(AND(ISNUMBER(Calc_RhV!T14),ISNUMBER(Conv_RhV!T14)),Calc_RhV!T14/Conv_RhV!T14,"n.d.")</f>
        <v>1</v>
      </c>
      <c r="U14" s="14">
        <f>IF(AND(ISNUMBER(Calc_RhV!U14),ISNUMBER(Conv_RhV!U14)),Calc_RhV!U14/Conv_RhV!U14,"n.d.")</f>
        <v>1</v>
      </c>
      <c r="V14" s="14">
        <f>IF(AND(ISNUMBER(Calc_RhV!V14),ISNUMBER(Conv_RhV!V14)),Calc_RhV!V14/Conv_RhV!V14,"n.d.")</f>
        <v>1</v>
      </c>
      <c r="W14" s="14">
        <f>IF(AND(ISNUMBER(Calc_RhV!W14),ISNUMBER(Conv_RhV!W14)),Calc_RhV!W14/Conv_RhV!W14,"n.d.")</f>
        <v>1</v>
      </c>
      <c r="X14" s="14">
        <f>IF(AND(ISNUMBER(Calc_RhV!X14),ISNUMBER(Conv_RhV!X14)),Calc_RhV!X14/Conv_RhV!X14,"n.d.")</f>
        <v>1</v>
      </c>
    </row>
    <row r="15" spans="1:24" x14ac:dyDescent="0.25">
      <c r="A15" s="13" t="str">
        <f>Calc_RhV!A15</f>
        <v>ak</v>
      </c>
      <c r="B15" s="13" t="str">
        <f>Calc_RhV!B15</f>
        <v>R10</v>
      </c>
      <c r="C15" s="14">
        <f>IF(AND(ISNUMBER(Calc_RhV!C15),ISNUMBER(Conv_RhV!C15)),Calc_RhV!C15/Conv_RhV!C15,"n.d.")</f>
        <v>1</v>
      </c>
      <c r="D15" s="14">
        <f>IF(AND(ISNUMBER(Calc_RhV!D15),ISNUMBER(Conv_RhV!D15)),Calc_RhV!D15/Conv_RhV!D15,"n.d.")</f>
        <v>1</v>
      </c>
      <c r="E15" s="14">
        <f>IF(AND(ISNUMBER(Calc_RhV!E15),ISNUMBER(Conv_RhV!E15)),Calc_RhV!E15/Conv_RhV!E15,"n.d.")</f>
        <v>1</v>
      </c>
      <c r="F15" s="14">
        <f>IF(AND(ISNUMBER(Calc_RhV!F15),ISNUMBER(Conv_RhV!F15)),Calc_RhV!F15/Conv_RhV!F15,"n.d.")</f>
        <v>1</v>
      </c>
      <c r="G15" s="14">
        <f>IF(AND(ISNUMBER(Calc_RhV!G15),ISNUMBER(Conv_RhV!G15)),Calc_RhV!G15/Conv_RhV!G15,"n.d.")</f>
        <v>1</v>
      </c>
      <c r="H15" s="14">
        <f>IF(AND(ISNUMBER(Calc_RhV!H15),ISNUMBER(Conv_RhV!H15)),Calc_RhV!H15/Conv_RhV!H15,"n.d.")</f>
        <v>1</v>
      </c>
      <c r="I15" s="14">
        <f>IF(AND(ISNUMBER(Calc_RhV!I15),ISNUMBER(Conv_RhV!I15)),Calc_RhV!I15/Conv_RhV!I15,"n.d.")</f>
        <v>1</v>
      </c>
      <c r="J15" s="14">
        <f>IF(AND(ISNUMBER(Calc_RhV!J15),ISNUMBER(Conv_RhV!J15)),Calc_RhV!J15/Conv_RhV!J15,"n.d.")</f>
        <v>1</v>
      </c>
      <c r="K15" s="14">
        <f>IF(AND(ISNUMBER(Calc_RhV!K15),ISNUMBER(Conv_RhV!K15)),Calc_RhV!K15/Conv_RhV!K15,"n.d.")</f>
        <v>1</v>
      </c>
      <c r="L15" s="14">
        <f>IF(AND(ISNUMBER(Calc_RhV!L15),ISNUMBER(Conv_RhV!L15)),Calc_RhV!L15/Conv_RhV!L15,"n.d.")</f>
        <v>1</v>
      </c>
      <c r="M15" s="14">
        <f>IF(AND(ISNUMBER(Calc_RhV!M15),ISNUMBER(Conv_RhV!M15)),Calc_RhV!M15/Conv_RhV!M15,"n.d.")</f>
        <v>1</v>
      </c>
      <c r="N15" s="14">
        <f>IF(AND(ISNUMBER(Calc_RhV!N15),ISNUMBER(Conv_RhV!N15)),Calc_RhV!N15/Conv_RhV!N15,"n.d.")</f>
        <v>1</v>
      </c>
      <c r="O15" s="14">
        <f>IF(AND(ISNUMBER(Calc_RhV!O15),ISNUMBER(Conv_RhV!O15)),Calc_RhV!O15/Conv_RhV!O15,"n.d.")</f>
        <v>1</v>
      </c>
      <c r="P15" s="14">
        <f>IF(AND(ISNUMBER(Calc_RhV!P15),ISNUMBER(Conv_RhV!P15)),Calc_RhV!P15/Conv_RhV!P15,"n.d.")</f>
        <v>1</v>
      </c>
      <c r="Q15" s="14">
        <f>IF(AND(ISNUMBER(Calc_RhV!Q15),ISNUMBER(Conv_RhV!Q15)),Calc_RhV!Q15/Conv_RhV!Q15,"n.d.")</f>
        <v>1</v>
      </c>
      <c r="R15" s="14">
        <f>IF(AND(ISNUMBER(Calc_RhV!R15),ISNUMBER(Conv_RhV!R15)),Calc_RhV!R15/Conv_RhV!R15,"n.d.")</f>
        <v>1</v>
      </c>
      <c r="S15" s="14">
        <f>IF(AND(ISNUMBER(Calc_RhV!S15),ISNUMBER(Conv_RhV!S15)),Calc_RhV!S15/Conv_RhV!S15,"n.d.")</f>
        <v>1</v>
      </c>
      <c r="T15" s="14">
        <f>IF(AND(ISNUMBER(Calc_RhV!T15),ISNUMBER(Conv_RhV!T15)),Calc_RhV!T15/Conv_RhV!T15,"n.d.")</f>
        <v>1</v>
      </c>
      <c r="U15" s="14">
        <f>IF(AND(ISNUMBER(Calc_RhV!U15),ISNUMBER(Conv_RhV!U15)),Calc_RhV!U15/Conv_RhV!U15,"n.d.")</f>
        <v>1</v>
      </c>
      <c r="V15" s="14">
        <f>IF(AND(ISNUMBER(Calc_RhV!V15),ISNUMBER(Conv_RhV!V15)),Calc_RhV!V15/Conv_RhV!V15,"n.d.")</f>
        <v>1</v>
      </c>
      <c r="W15" s="14">
        <f>IF(AND(ISNUMBER(Calc_RhV!W15),ISNUMBER(Conv_RhV!W15)),Calc_RhV!W15/Conv_RhV!W15,"n.d.")</f>
        <v>1</v>
      </c>
      <c r="X15" s="14">
        <f>IF(AND(ISNUMBER(Calc_RhV!X15),ISNUMBER(Conv_RhV!X15)),Calc_RhV!X15/Conv_RhV!X15,"n.d.")</f>
        <v>1</v>
      </c>
    </row>
    <row r="16" spans="1:24" x14ac:dyDescent="0.25">
      <c r="A16" s="13" t="str">
        <f>Calc_RhV!A16</f>
        <v>al</v>
      </c>
      <c r="B16" s="13" t="str">
        <f>Calc_RhV!B16</f>
        <v>R11</v>
      </c>
      <c r="C16" s="14">
        <f>IF(AND(ISNUMBER(Calc_RhV!C16),ISNUMBER(Conv_RhV!C16)),Calc_RhV!C16/Conv_RhV!C16,"n.d.")</f>
        <v>1</v>
      </c>
      <c r="D16" s="14">
        <f>IF(AND(ISNUMBER(Calc_RhV!D16),ISNUMBER(Conv_RhV!D16)),Calc_RhV!D16/Conv_RhV!D16,"n.d.")</f>
        <v>1</v>
      </c>
      <c r="E16" s="14">
        <f>IF(AND(ISNUMBER(Calc_RhV!E16),ISNUMBER(Conv_RhV!E16)),Calc_RhV!E16/Conv_RhV!E16,"n.d.")</f>
        <v>1</v>
      </c>
      <c r="F16" s="14">
        <f>IF(AND(ISNUMBER(Calc_RhV!F16),ISNUMBER(Conv_RhV!F16)),Calc_RhV!F16/Conv_RhV!F16,"n.d.")</f>
        <v>1</v>
      </c>
      <c r="G16" s="14">
        <f>IF(AND(ISNUMBER(Calc_RhV!G16),ISNUMBER(Conv_RhV!G16)),Calc_RhV!G16/Conv_RhV!G16,"n.d.")</f>
        <v>1</v>
      </c>
      <c r="H16" s="14">
        <f>IF(AND(ISNUMBER(Calc_RhV!H16),ISNUMBER(Conv_RhV!H16)),Calc_RhV!H16/Conv_RhV!H16,"n.d.")</f>
        <v>1</v>
      </c>
      <c r="I16" s="14">
        <f>IF(AND(ISNUMBER(Calc_RhV!I16),ISNUMBER(Conv_RhV!I16)),Calc_RhV!I16/Conv_RhV!I16,"n.d.")</f>
        <v>1</v>
      </c>
      <c r="J16" s="14">
        <f>IF(AND(ISNUMBER(Calc_RhV!J16),ISNUMBER(Conv_RhV!J16)),Calc_RhV!J16/Conv_RhV!J16,"n.d.")</f>
        <v>1</v>
      </c>
      <c r="K16" s="14">
        <f>IF(AND(ISNUMBER(Calc_RhV!K16),ISNUMBER(Conv_RhV!K16)),Calc_RhV!K16/Conv_RhV!K16,"n.d.")</f>
        <v>1</v>
      </c>
      <c r="L16" s="14">
        <f>IF(AND(ISNUMBER(Calc_RhV!L16),ISNUMBER(Conv_RhV!L16)),Calc_RhV!L16/Conv_RhV!L16,"n.d.")</f>
        <v>1</v>
      </c>
      <c r="M16" s="14">
        <f>IF(AND(ISNUMBER(Calc_RhV!M16),ISNUMBER(Conv_RhV!M16)),Calc_RhV!M16/Conv_RhV!M16,"n.d.")</f>
        <v>1</v>
      </c>
      <c r="N16" s="14">
        <f>IF(AND(ISNUMBER(Calc_RhV!N16),ISNUMBER(Conv_RhV!N16)),Calc_RhV!N16/Conv_RhV!N16,"n.d.")</f>
        <v>1</v>
      </c>
      <c r="O16" s="14">
        <f>IF(AND(ISNUMBER(Calc_RhV!O16),ISNUMBER(Conv_RhV!O16)),Calc_RhV!O16/Conv_RhV!O16,"n.d.")</f>
        <v>1</v>
      </c>
      <c r="P16" s="14">
        <f>IF(AND(ISNUMBER(Calc_RhV!P16),ISNUMBER(Conv_RhV!P16)),Calc_RhV!P16/Conv_RhV!P16,"n.d.")</f>
        <v>1</v>
      </c>
      <c r="Q16" s="14">
        <f>IF(AND(ISNUMBER(Calc_RhV!Q16),ISNUMBER(Conv_RhV!Q16)),Calc_RhV!Q16/Conv_RhV!Q16,"n.d.")</f>
        <v>1</v>
      </c>
      <c r="R16" s="14">
        <f>IF(AND(ISNUMBER(Calc_RhV!R16),ISNUMBER(Conv_RhV!R16)),Calc_RhV!R16/Conv_RhV!R16,"n.d.")</f>
        <v>1</v>
      </c>
      <c r="S16" s="14">
        <f>IF(AND(ISNUMBER(Calc_RhV!S16),ISNUMBER(Conv_RhV!S16)),Calc_RhV!S16/Conv_RhV!S16,"n.d.")</f>
        <v>1</v>
      </c>
      <c r="T16" s="14">
        <f>IF(AND(ISNUMBER(Calc_RhV!T16),ISNUMBER(Conv_RhV!T16)),Calc_RhV!T16/Conv_RhV!T16,"n.d.")</f>
        <v>1</v>
      </c>
      <c r="U16" s="14">
        <f>IF(AND(ISNUMBER(Calc_RhV!U16),ISNUMBER(Conv_RhV!U16)),Calc_RhV!U16/Conv_RhV!U16,"n.d.")</f>
        <v>1</v>
      </c>
      <c r="V16" s="14">
        <f>IF(AND(ISNUMBER(Calc_RhV!V16),ISNUMBER(Conv_RhV!V16)),Calc_RhV!V16/Conv_RhV!V16,"n.d.")</f>
        <v>1</v>
      </c>
      <c r="W16" s="14">
        <f>IF(AND(ISNUMBER(Calc_RhV!W16),ISNUMBER(Conv_RhV!W16)),Calc_RhV!W16/Conv_RhV!W16,"n.d.")</f>
        <v>1</v>
      </c>
      <c r="X16" s="14">
        <f>IF(AND(ISNUMBER(Calc_RhV!X16),ISNUMBER(Conv_RhV!X16)),Calc_RhV!X16/Conv_RhV!X16,"n.d.")</f>
        <v>0.99999999999999989</v>
      </c>
    </row>
  </sheetData>
  <mergeCells count="11">
    <mergeCell ref="C3:D3"/>
    <mergeCell ref="S3:T3"/>
    <mergeCell ref="G3:H3"/>
    <mergeCell ref="E3:F3"/>
    <mergeCell ref="K3:L3"/>
    <mergeCell ref="I3:J3"/>
    <mergeCell ref="O3:P3"/>
    <mergeCell ref="W3:X3"/>
    <mergeCell ref="Q3:R3"/>
    <mergeCell ref="U3:V3"/>
    <mergeCell ref="M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6" ht="15.75" x14ac:dyDescent="0.25">
      <c r="A1" s="11" t="s">
        <v>66</v>
      </c>
    </row>
    <row r="3" spans="1:26" x14ac:dyDescent="0.25">
      <c r="C3" s="15" t="s">
        <v>43</v>
      </c>
      <c r="E3" s="15" t="s">
        <v>44</v>
      </c>
      <c r="G3" s="15" t="s">
        <v>45</v>
      </c>
      <c r="I3" s="15" t="s">
        <v>46</v>
      </c>
      <c r="K3" s="15" t="s">
        <v>47</v>
      </c>
      <c r="M3" s="15" t="s">
        <v>48</v>
      </c>
      <c r="O3" s="15" t="s">
        <v>49</v>
      </c>
      <c r="Q3" s="15" t="s">
        <v>50</v>
      </c>
      <c r="S3" s="15" t="s">
        <v>51</v>
      </c>
      <c r="U3" s="15" t="s">
        <v>52</v>
      </c>
      <c r="W3" s="15" t="s">
        <v>53</v>
      </c>
      <c r="Y3" s="15" t="s">
        <v>54</v>
      </c>
    </row>
    <row r="4" spans="1:26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  <c r="Y4" s="15" t="s">
        <v>62</v>
      </c>
      <c r="Z4" s="15" t="s">
        <v>63</v>
      </c>
    </row>
    <row r="5" spans="1:26" x14ac:dyDescent="0.25">
      <c r="A5" s="15" t="s">
        <v>42</v>
      </c>
      <c r="C5" s="16">
        <v>266.18670416499299</v>
      </c>
      <c r="E5" s="16">
        <v>111.1092815311772</v>
      </c>
      <c r="G5" s="16">
        <v>41.823183893234493</v>
      </c>
      <c r="I5" s="16">
        <v>48.904276935621724</v>
      </c>
      <c r="K5" s="16">
        <v>37.096076469025093</v>
      </c>
      <c r="M5" s="16">
        <v>0.72856499432694422</v>
      </c>
      <c r="O5" s="16">
        <v>10.670178425957049</v>
      </c>
      <c r="Q5" s="16">
        <v>7.8429950393445482</v>
      </c>
      <c r="S5" s="16">
        <v>0.2272026751000974</v>
      </c>
      <c r="U5" s="16">
        <v>1.177266071811703</v>
      </c>
      <c r="W5" s="16">
        <v>5.4637811597980566</v>
      </c>
      <c r="Y5" s="16">
        <v>12.822030113742059</v>
      </c>
    </row>
    <row r="6" spans="1:26" x14ac:dyDescent="0.25">
      <c r="A6" t="s">
        <v>67</v>
      </c>
      <c r="B6" t="s">
        <v>68</v>
      </c>
      <c r="C6" s="16">
        <v>2161</v>
      </c>
      <c r="D6" s="16">
        <v>218.19242922850179</v>
      </c>
      <c r="E6" s="16">
        <v>9600</v>
      </c>
      <c r="F6" s="16">
        <v>136.51808179934949</v>
      </c>
      <c r="G6" s="16">
        <v>6600</v>
      </c>
      <c r="H6" s="16">
        <v>60.878898748565547</v>
      </c>
      <c r="I6" s="16">
        <v>26760</v>
      </c>
      <c r="J6" s="16">
        <v>500.38159750166068</v>
      </c>
      <c r="K6" s="16">
        <v>50450</v>
      </c>
      <c r="L6" s="16">
        <v>569.59316645176648</v>
      </c>
      <c r="M6" s="16">
        <v>1.988</v>
      </c>
      <c r="N6" s="16">
        <v>0.48160587864670412</v>
      </c>
      <c r="O6" s="16">
        <v>246.3</v>
      </c>
      <c r="P6" s="16">
        <v>11.244381023940729</v>
      </c>
      <c r="Q6" s="16">
        <v>367.5</v>
      </c>
      <c r="R6" s="16">
        <v>8.5488429539171147</v>
      </c>
      <c r="S6" s="16">
        <v>1.5820000000000001</v>
      </c>
      <c r="T6" s="16">
        <v>0.24829873126971769</v>
      </c>
      <c r="U6" s="16">
        <v>4.7</v>
      </c>
      <c r="V6" s="16">
        <v>1.266171628316608</v>
      </c>
      <c r="W6" s="16">
        <v>30.94</v>
      </c>
      <c r="X6" s="16">
        <v>5.9123359704428031</v>
      </c>
      <c r="Y6" s="16">
        <v>1300</v>
      </c>
      <c r="Z6" s="16">
        <v>17.503292792938701</v>
      </c>
    </row>
    <row r="7" spans="1:26" x14ac:dyDescent="0.25">
      <c r="A7" t="s">
        <v>69</v>
      </c>
      <c r="B7" t="s">
        <v>70</v>
      </c>
      <c r="C7" s="16">
        <v>732.10137949404657</v>
      </c>
      <c r="D7" s="16">
        <v>88.64416733343181</v>
      </c>
      <c r="E7" s="16">
        <v>1604.1956592868</v>
      </c>
      <c r="F7" s="16">
        <v>41.054099021358347</v>
      </c>
      <c r="G7" s="16">
        <v>1016.321205225772</v>
      </c>
      <c r="H7" s="16">
        <v>17.78654093787193</v>
      </c>
      <c r="I7" s="16">
        <v>5574.5665702252591</v>
      </c>
      <c r="J7" s="16">
        <v>110.92721495130441</v>
      </c>
      <c r="K7" s="16">
        <v>1299.849335761601</v>
      </c>
      <c r="L7" s="16">
        <v>26.159915164812318</v>
      </c>
      <c r="M7" s="16">
        <v>7.9393398224157368</v>
      </c>
      <c r="N7" s="16">
        <v>1.39798959411448</v>
      </c>
      <c r="O7" s="16">
        <v>118.6170558832455</v>
      </c>
      <c r="P7" s="16">
        <v>6.4241071857135346</v>
      </c>
      <c r="Q7" s="16">
        <v>3636.6028339760178</v>
      </c>
      <c r="R7" s="16">
        <v>67.670830515770945</v>
      </c>
      <c r="S7" s="16">
        <v>1.340846431875732</v>
      </c>
      <c r="T7" s="16">
        <v>0.19912992965924831</v>
      </c>
      <c r="U7" s="16">
        <v>3.111893962138093</v>
      </c>
      <c r="V7" s="16">
        <v>0.88009170825016003</v>
      </c>
      <c r="W7" s="16">
        <v>23.71416578333287</v>
      </c>
      <c r="X7" s="16">
        <v>4.3752965830547312</v>
      </c>
      <c r="Y7" s="16">
        <v>24.216681517607629</v>
      </c>
      <c r="Z7" s="16">
        <v>6.0190179275674529</v>
      </c>
    </row>
    <row r="8" spans="1:26" x14ac:dyDescent="0.25">
      <c r="A8" t="s">
        <v>71</v>
      </c>
      <c r="B8" t="s">
        <v>72</v>
      </c>
      <c r="C8" s="16">
        <v>927.64968446475496</v>
      </c>
      <c r="D8" s="16">
        <v>100.7022762169849</v>
      </c>
      <c r="E8" s="16">
        <v>1537.749334685946</v>
      </c>
      <c r="F8" s="16">
        <v>42.055568568923547</v>
      </c>
      <c r="G8" s="16">
        <v>1777.3281186498641</v>
      </c>
      <c r="H8" s="16">
        <v>23.34048002484019</v>
      </c>
      <c r="I8" s="16">
        <v>5164.9554442557719</v>
      </c>
      <c r="J8" s="16">
        <v>104.35048406505121</v>
      </c>
      <c r="K8" s="16">
        <v>1698.1001197253829</v>
      </c>
      <c r="L8" s="16">
        <v>30.473338763792551</v>
      </c>
      <c r="M8" s="16">
        <v>8.4061528929929512</v>
      </c>
      <c r="N8" s="16">
        <v>1.478032726901461</v>
      </c>
      <c r="O8" s="16">
        <v>110.9842216382858</v>
      </c>
      <c r="P8" s="16">
        <v>6.199296134791747</v>
      </c>
      <c r="Q8" s="16">
        <v>2666.4788099318462</v>
      </c>
      <c r="R8" s="16">
        <v>49.856913736596638</v>
      </c>
      <c r="S8" s="16">
        <v>1.3144623206028641</v>
      </c>
      <c r="T8" s="16">
        <v>0.19407617305733429</v>
      </c>
      <c r="U8" s="16">
        <v>2.7721842274314898</v>
      </c>
      <c r="V8" s="16">
        <v>0.81525810568950852</v>
      </c>
      <c r="W8" s="16">
        <v>35.181050656916923</v>
      </c>
      <c r="X8" s="16">
        <v>5.6011701299087902</v>
      </c>
      <c r="Y8" s="16"/>
      <c r="Z8" s="16"/>
    </row>
    <row r="9" spans="1:26" x14ac:dyDescent="0.25">
      <c r="A9" t="s">
        <v>73</v>
      </c>
      <c r="B9" t="s">
        <v>74</v>
      </c>
      <c r="C9" s="16">
        <v>676.48551468365883</v>
      </c>
      <c r="D9" s="16">
        <v>87.760842649538773</v>
      </c>
      <c r="E9" s="16">
        <v>1596.489681642697</v>
      </c>
      <c r="F9" s="16">
        <v>42.663491420622428</v>
      </c>
      <c r="G9" s="16">
        <v>1384.6776787129591</v>
      </c>
      <c r="H9" s="16">
        <v>20.462493513517639</v>
      </c>
      <c r="I9" s="16">
        <v>7462.6706470742092</v>
      </c>
      <c r="J9" s="16">
        <v>144.97885089366159</v>
      </c>
      <c r="K9" s="16">
        <v>1439.397426026459</v>
      </c>
      <c r="L9" s="16">
        <v>28.03013938123658</v>
      </c>
      <c r="M9" s="16">
        <v>4.2946723890948491</v>
      </c>
      <c r="N9" s="16">
        <v>0.79280540970510094</v>
      </c>
      <c r="O9" s="16">
        <v>109.8398576406739</v>
      </c>
      <c r="P9" s="16">
        <v>6.1208288604597421</v>
      </c>
      <c r="Q9" s="16">
        <v>2299.6091625153522</v>
      </c>
      <c r="R9" s="16">
        <v>43.096840810593577</v>
      </c>
      <c r="S9" s="16">
        <v>1.071116340665657</v>
      </c>
      <c r="T9" s="16">
        <v>0.17465751765841661</v>
      </c>
      <c r="U9" s="16">
        <v>3.5195475837315491</v>
      </c>
      <c r="V9" s="16">
        <v>0.92244583890443133</v>
      </c>
      <c r="W9" s="16">
        <v>15.26847539852456</v>
      </c>
      <c r="X9" s="16">
        <v>3.550221895759182</v>
      </c>
      <c r="Y9" s="16">
        <v>18.422965191412349</v>
      </c>
      <c r="Z9" s="16">
        <v>5.5931678351607754</v>
      </c>
    </row>
    <row r="10" spans="1:26" x14ac:dyDescent="0.25">
      <c r="A10" t="s">
        <v>75</v>
      </c>
      <c r="B10" t="s">
        <v>76</v>
      </c>
      <c r="C10" s="16">
        <v>842.61185551735934</v>
      </c>
      <c r="D10" s="16">
        <v>103.5242007685503</v>
      </c>
      <c r="E10" s="16">
        <v>2124.7924786174322</v>
      </c>
      <c r="F10" s="16">
        <v>51.663457127284254</v>
      </c>
      <c r="G10" s="16">
        <v>1285.6809741439631</v>
      </c>
      <c r="H10" s="16">
        <v>21.93726176631105</v>
      </c>
      <c r="I10" s="16">
        <v>9087.0390705190839</v>
      </c>
      <c r="J10" s="16">
        <v>176.21696457565969</v>
      </c>
      <c r="K10" s="16">
        <v>1832.706791820656</v>
      </c>
      <c r="L10" s="16">
        <v>34.28202741459949</v>
      </c>
      <c r="M10" s="16">
        <v>8.5316367408463947</v>
      </c>
      <c r="N10" s="16">
        <v>1.5077585286592841</v>
      </c>
      <c r="O10" s="16">
        <v>156.50500290215899</v>
      </c>
      <c r="P10" s="16">
        <v>7.9993339139383908</v>
      </c>
      <c r="Q10" s="16">
        <v>4283.8730095127275</v>
      </c>
      <c r="R10" s="16">
        <v>79.740034368496666</v>
      </c>
      <c r="S10" s="16">
        <v>1.304499838616612</v>
      </c>
      <c r="T10" s="16">
        <v>0.20567887788195019</v>
      </c>
      <c r="U10" s="16">
        <v>2.6523080595890769</v>
      </c>
      <c r="V10" s="16">
        <v>0.87189343591435009</v>
      </c>
      <c r="W10" s="16">
        <v>17.512468839651849</v>
      </c>
      <c r="X10" s="16">
        <v>3.9799975779320742</v>
      </c>
      <c r="Y10" s="16">
        <v>22.783062155614399</v>
      </c>
      <c r="Z10" s="16">
        <v>6.2244118170984537</v>
      </c>
    </row>
    <row r="11" spans="1:26" x14ac:dyDescent="0.25">
      <c r="A11" t="s">
        <v>77</v>
      </c>
      <c r="B11" t="s">
        <v>78</v>
      </c>
      <c r="C11" s="16">
        <v>842.47120923868829</v>
      </c>
      <c r="D11" s="16">
        <v>103.1132353265056</v>
      </c>
      <c r="E11" s="16">
        <v>2135.8147322074469</v>
      </c>
      <c r="F11" s="16">
        <v>50.564107007738073</v>
      </c>
      <c r="G11" s="16">
        <v>1353.77490217319</v>
      </c>
      <c r="H11" s="16">
        <v>21.811905991427668</v>
      </c>
      <c r="I11" s="16">
        <v>9218.8267913897434</v>
      </c>
      <c r="J11" s="16">
        <v>178.0255602360632</v>
      </c>
      <c r="K11" s="16">
        <v>1780.45870538085</v>
      </c>
      <c r="L11" s="16">
        <v>33.050643075649987</v>
      </c>
      <c r="M11" s="16">
        <v>5.4570972048147732</v>
      </c>
      <c r="N11" s="16">
        <v>0.99640202859278593</v>
      </c>
      <c r="O11" s="16">
        <v>185.83870714718319</v>
      </c>
      <c r="P11" s="16">
        <v>8.913077771585181</v>
      </c>
      <c r="Q11" s="16">
        <v>4828.3016104280096</v>
      </c>
      <c r="R11" s="16">
        <v>89.703558826669067</v>
      </c>
      <c r="S11" s="16">
        <v>1.241019364726911</v>
      </c>
      <c r="T11" s="16">
        <v>0.20362972247149</v>
      </c>
      <c r="U11" s="16">
        <v>4.3198502128262328</v>
      </c>
      <c r="V11" s="16">
        <v>1.1141643468533471</v>
      </c>
      <c r="W11" s="16">
        <v>23.485440415207488</v>
      </c>
      <c r="X11" s="16">
        <v>4.6455983026675138</v>
      </c>
      <c r="Y11" s="16">
        <v>20.535022808792629</v>
      </c>
      <c r="Z11" s="16">
        <v>6.7510897734396353</v>
      </c>
    </row>
    <row r="12" spans="1:26" x14ac:dyDescent="0.25">
      <c r="A12" t="s">
        <v>79</v>
      </c>
      <c r="B12" t="s">
        <v>80</v>
      </c>
      <c r="C12" s="16">
        <v>933.08128241684483</v>
      </c>
      <c r="D12" s="16">
        <v>101.04474189842431</v>
      </c>
      <c r="E12" s="16">
        <v>1612.680307637746</v>
      </c>
      <c r="F12" s="16">
        <v>43.211033076488008</v>
      </c>
      <c r="G12" s="16">
        <v>1711.8749875013409</v>
      </c>
      <c r="H12" s="16">
        <v>22.802871454714829</v>
      </c>
      <c r="I12" s="16">
        <v>5664.0533721508336</v>
      </c>
      <c r="J12" s="16">
        <v>112.80172280822789</v>
      </c>
      <c r="K12" s="16">
        <v>1273.4422746126779</v>
      </c>
      <c r="L12" s="16">
        <v>26.30671017013762</v>
      </c>
      <c r="M12" s="16">
        <v>4.2071014036937289</v>
      </c>
      <c r="N12" s="16">
        <v>0.7751411948694602</v>
      </c>
      <c r="O12" s="16">
        <v>138.40493793247131</v>
      </c>
      <c r="P12" s="16">
        <v>6.902601962009836</v>
      </c>
      <c r="Q12" s="16">
        <v>2399.4857232564682</v>
      </c>
      <c r="R12" s="16">
        <v>44.928933149110193</v>
      </c>
      <c r="S12" s="16">
        <v>0.80468218325363383</v>
      </c>
      <c r="T12" s="16">
        <v>0.14760990211688621</v>
      </c>
      <c r="U12" s="16">
        <v>2.4241143980220881</v>
      </c>
      <c r="V12" s="16">
        <v>0.74282429266053185</v>
      </c>
      <c r="W12" s="16">
        <v>17.61954954523237</v>
      </c>
      <c r="X12" s="16">
        <v>3.5411580046025359</v>
      </c>
      <c r="Y12" s="16">
        <v>16.092736341972639</v>
      </c>
      <c r="Z12" s="16">
        <v>5.0232707836142119</v>
      </c>
    </row>
    <row r="13" spans="1:26" x14ac:dyDescent="0.25">
      <c r="A13" t="s">
        <v>81</v>
      </c>
      <c r="B13" t="s">
        <v>82</v>
      </c>
      <c r="C13" s="16">
        <v>952.81927329636721</v>
      </c>
      <c r="D13" s="16">
        <v>105.8782868879714</v>
      </c>
      <c r="E13" s="16">
        <v>1494.6303788087521</v>
      </c>
      <c r="F13" s="16">
        <v>42.959558398890699</v>
      </c>
      <c r="G13" s="16">
        <v>1403.4624526606981</v>
      </c>
      <c r="H13" s="16">
        <v>21.71631986223429</v>
      </c>
      <c r="I13" s="16">
        <v>6484.535785256774</v>
      </c>
      <c r="J13" s="16">
        <v>128.4179007244891</v>
      </c>
      <c r="K13" s="16">
        <v>1325.5144077426221</v>
      </c>
      <c r="L13" s="16">
        <v>28.118671942543489</v>
      </c>
      <c r="M13" s="16">
        <v>9.5073993227404632</v>
      </c>
      <c r="N13" s="16">
        <v>1.668431576004817</v>
      </c>
      <c r="O13" s="16">
        <v>202.7941673972696</v>
      </c>
      <c r="P13" s="16">
        <v>9.3736193331576878</v>
      </c>
      <c r="Q13" s="16">
        <v>4631.6506896129649</v>
      </c>
      <c r="R13" s="16">
        <v>86.067283970286113</v>
      </c>
      <c r="S13" s="16">
        <v>1.520355638209743</v>
      </c>
      <c r="T13" s="16">
        <v>0.22075124739611299</v>
      </c>
      <c r="U13" s="16">
        <v>3.703648818109782</v>
      </c>
      <c r="V13" s="16">
        <v>0.99036717793103302</v>
      </c>
      <c r="W13" s="16">
        <v>20.487934795768751</v>
      </c>
      <c r="X13" s="16">
        <v>4.1871396287796223</v>
      </c>
      <c r="Y13" s="16">
        <v>24.93248711187195</v>
      </c>
      <c r="Z13" s="16">
        <v>6.2376399320825087</v>
      </c>
    </row>
    <row r="14" spans="1:26" x14ac:dyDescent="0.25">
      <c r="A14" t="s">
        <v>83</v>
      </c>
      <c r="B14" t="s">
        <v>84</v>
      </c>
      <c r="C14" s="16">
        <v>1333.5513787339521</v>
      </c>
      <c r="D14" s="16">
        <v>137.73852908214531</v>
      </c>
      <c r="E14" s="16">
        <v>2296.946477169693</v>
      </c>
      <c r="F14" s="16">
        <v>54.96350003787957</v>
      </c>
      <c r="G14" s="16">
        <v>2325.3444255678878</v>
      </c>
      <c r="H14" s="16">
        <v>29.59637710054642</v>
      </c>
      <c r="I14" s="16">
        <v>10857.11261087823</v>
      </c>
      <c r="J14" s="16">
        <v>208.28110853498131</v>
      </c>
      <c r="K14" s="16">
        <v>1457.844758814437</v>
      </c>
      <c r="L14" s="16">
        <v>31.20533329311753</v>
      </c>
      <c r="M14" s="16">
        <v>8.8199254857562206</v>
      </c>
      <c r="N14" s="16">
        <v>1.5601051266633219</v>
      </c>
      <c r="O14" s="16">
        <v>220.66205410036949</v>
      </c>
      <c r="P14" s="16">
        <v>10.279988351822229</v>
      </c>
      <c r="Q14" s="16">
        <v>7220.1114125965687</v>
      </c>
      <c r="R14" s="16">
        <v>133.77657201355851</v>
      </c>
      <c r="S14" s="16">
        <v>1.755211318150095</v>
      </c>
      <c r="T14" s="16">
        <v>0.25371238458624118</v>
      </c>
      <c r="U14" s="16">
        <v>4.5314934839294274</v>
      </c>
      <c r="V14" s="16">
        <v>1.176132670796403</v>
      </c>
      <c r="W14" s="16">
        <v>27.789137825526051</v>
      </c>
      <c r="X14" s="16">
        <v>5.2362811736660948</v>
      </c>
      <c r="Y14" s="16">
        <v>33.886825795071132</v>
      </c>
      <c r="Z14" s="16">
        <v>7.6109042307872796</v>
      </c>
    </row>
    <row r="15" spans="1:26" x14ac:dyDescent="0.25">
      <c r="A15" t="s">
        <v>85</v>
      </c>
      <c r="B15" t="s">
        <v>86</v>
      </c>
      <c r="C15" s="16">
        <v>1220.4912027850619</v>
      </c>
      <c r="D15" s="16">
        <v>122.32016062487899</v>
      </c>
      <c r="E15" s="16">
        <v>1707.009521622776</v>
      </c>
      <c r="F15" s="16">
        <v>45.929301683625212</v>
      </c>
      <c r="G15" s="16">
        <v>1373.9905650782009</v>
      </c>
      <c r="H15" s="16">
        <v>21.370955713377569</v>
      </c>
      <c r="I15" s="16">
        <v>7210.1271816636172</v>
      </c>
      <c r="J15" s="16">
        <v>141.30596308729241</v>
      </c>
      <c r="K15" s="16">
        <v>1879.964904310993</v>
      </c>
      <c r="L15" s="16">
        <v>33.100788145974008</v>
      </c>
      <c r="M15" s="16">
        <v>9.2956227798550835</v>
      </c>
      <c r="N15" s="16">
        <v>1.6333891642119409</v>
      </c>
      <c r="O15" s="16">
        <v>151.48731977022089</v>
      </c>
      <c r="P15" s="16">
        <v>7.731549528986208</v>
      </c>
      <c r="Q15" s="16">
        <v>6106.3323454606216</v>
      </c>
      <c r="R15" s="16">
        <v>113.1719042280498</v>
      </c>
      <c r="S15" s="16">
        <v>1.597119660254029</v>
      </c>
      <c r="T15" s="16">
        <v>0.23037183728196201</v>
      </c>
      <c r="U15" s="16">
        <v>4.1993505356478984</v>
      </c>
      <c r="V15" s="16">
        <v>1.0761523785719209</v>
      </c>
      <c r="W15" s="16">
        <v>16.192586995347469</v>
      </c>
      <c r="X15" s="16">
        <v>3.9000511443211261</v>
      </c>
      <c r="Y15" s="16">
        <v>23.449874446401779</v>
      </c>
      <c r="Z15" s="16">
        <v>6.5423884728715311</v>
      </c>
    </row>
    <row r="16" spans="1:26" x14ac:dyDescent="0.25">
      <c r="A16" t="s">
        <v>87</v>
      </c>
      <c r="B16" t="s">
        <v>88</v>
      </c>
      <c r="C16" s="16">
        <v>1361.912673775957</v>
      </c>
      <c r="D16" s="16">
        <v>129.0076018880649</v>
      </c>
      <c r="E16" s="16">
        <v>1267.4416001462409</v>
      </c>
      <c r="F16" s="16">
        <v>40.964651998640008</v>
      </c>
      <c r="G16" s="16">
        <v>939.18195056281604</v>
      </c>
      <c r="H16" s="16">
        <v>18.28031951034302</v>
      </c>
      <c r="I16" s="16">
        <v>6092.5220727327178</v>
      </c>
      <c r="J16" s="16">
        <v>121.48734514452801</v>
      </c>
      <c r="K16" s="16">
        <v>1658.36909171569</v>
      </c>
      <c r="L16" s="16">
        <v>30.907655029168978</v>
      </c>
      <c r="M16" s="16">
        <v>11.93557646182035</v>
      </c>
      <c r="N16" s="16">
        <v>2.0812852433308131</v>
      </c>
      <c r="O16" s="16">
        <v>265.98882429856269</v>
      </c>
      <c r="P16" s="16">
        <v>11.624209750585919</v>
      </c>
      <c r="Q16" s="16">
        <v>6779.3238439953757</v>
      </c>
      <c r="R16" s="16">
        <v>125.5893726741818</v>
      </c>
      <c r="S16" s="16">
        <v>1.7802597316113551</v>
      </c>
      <c r="T16" s="16">
        <v>0.24877170645834659</v>
      </c>
      <c r="U16" s="16">
        <v>3.49580694646493</v>
      </c>
      <c r="V16" s="16">
        <v>0.99436340672093082</v>
      </c>
      <c r="W16" s="16">
        <v>17.59851590139866</v>
      </c>
      <c r="X16" s="16">
        <v>4.112502659936351</v>
      </c>
      <c r="Y16" s="16">
        <v>30.85552335155824</v>
      </c>
      <c r="Z16" s="16">
        <v>7.0496204633726771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6" ht="15.75" x14ac:dyDescent="0.25">
      <c r="A1" s="11" t="s">
        <v>89</v>
      </c>
    </row>
    <row r="3" spans="1:26" x14ac:dyDescent="0.25">
      <c r="C3" s="15" t="s">
        <v>43</v>
      </c>
      <c r="E3" s="15" t="s">
        <v>44</v>
      </c>
      <c r="G3" s="15" t="s">
        <v>45</v>
      </c>
      <c r="I3" s="15" t="s">
        <v>46</v>
      </c>
      <c r="K3" s="15" t="s">
        <v>47</v>
      </c>
      <c r="M3" s="15" t="s">
        <v>48</v>
      </c>
      <c r="O3" s="15" t="s">
        <v>49</v>
      </c>
      <c r="Q3" s="15" t="s">
        <v>50</v>
      </c>
      <c r="S3" s="15" t="s">
        <v>51</v>
      </c>
      <c r="U3" s="15" t="s">
        <v>52</v>
      </c>
      <c r="W3" s="15" t="s">
        <v>53</v>
      </c>
      <c r="Y3" s="15" t="s">
        <v>54</v>
      </c>
    </row>
    <row r="4" spans="1:26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  <c r="Y4" s="15" t="s">
        <v>62</v>
      </c>
      <c r="Z4" s="15" t="s">
        <v>63</v>
      </c>
    </row>
    <row r="5" spans="1:26" x14ac:dyDescent="0.25">
      <c r="A5" s="15" t="s">
        <v>42</v>
      </c>
      <c r="C5" s="16">
        <v>266.18670416499299</v>
      </c>
      <c r="E5" s="16">
        <v>111.1092815311772</v>
      </c>
      <c r="G5" s="16">
        <v>41.823183893234493</v>
      </c>
      <c r="I5" s="16">
        <v>48.904276935621724</v>
      </c>
      <c r="K5" s="16">
        <v>37.096076469025093</v>
      </c>
      <c r="M5" s="16">
        <v>0.72856499432694422</v>
      </c>
      <c r="O5" s="16">
        <v>10.670178425957049</v>
      </c>
      <c r="Q5" s="16">
        <v>7.8429950393445482</v>
      </c>
      <c r="S5" s="16">
        <v>0.2272026751000974</v>
      </c>
      <c r="U5" s="16">
        <v>1.177266071811703</v>
      </c>
      <c r="W5" s="16">
        <v>5.4637811597980566</v>
      </c>
      <c r="Y5" s="16">
        <v>12.822030113742059</v>
      </c>
    </row>
    <row r="6" spans="1:26" x14ac:dyDescent="0.25">
      <c r="A6" t="s">
        <v>67</v>
      </c>
      <c r="B6" t="s">
        <v>68</v>
      </c>
      <c r="C6" s="16">
        <v>2161</v>
      </c>
      <c r="D6" s="16">
        <v>218.19242922850179</v>
      </c>
      <c r="E6" s="16">
        <v>9600</v>
      </c>
      <c r="F6" s="16">
        <v>136.51808179934949</v>
      </c>
      <c r="G6" s="16">
        <v>6600</v>
      </c>
      <c r="H6" s="16">
        <v>60.878898748565547</v>
      </c>
      <c r="I6" s="16">
        <v>26760</v>
      </c>
      <c r="J6" s="16">
        <v>500.38159750166068</v>
      </c>
      <c r="K6" s="16">
        <v>50450</v>
      </c>
      <c r="L6" s="16">
        <v>569.59316645176648</v>
      </c>
      <c r="M6" s="16">
        <v>1.988</v>
      </c>
      <c r="N6" s="16">
        <v>0.48160587864670412</v>
      </c>
      <c r="O6" s="16">
        <v>246.3</v>
      </c>
      <c r="P6" s="16">
        <v>11.244381023940729</v>
      </c>
      <c r="Q6" s="16">
        <v>367.5</v>
      </c>
      <c r="R6" s="16">
        <v>8.5488429539171147</v>
      </c>
      <c r="S6" s="16">
        <v>1.5820000000000001</v>
      </c>
      <c r="T6" s="16">
        <v>0.24829873126971769</v>
      </c>
      <c r="U6" s="16">
        <v>4.7</v>
      </c>
      <c r="V6" s="16">
        <v>1.266171628316608</v>
      </c>
      <c r="W6" s="16">
        <v>30.94</v>
      </c>
      <c r="X6" s="16">
        <v>5.9123359704428031</v>
      </c>
      <c r="Y6" s="16">
        <v>1300</v>
      </c>
      <c r="Z6" s="16">
        <v>17.503292792938701</v>
      </c>
    </row>
    <row r="7" spans="1:26" x14ac:dyDescent="0.25">
      <c r="A7" t="s">
        <v>69</v>
      </c>
      <c r="B7" t="s">
        <v>70</v>
      </c>
      <c r="C7" s="16">
        <v>732.10137949404657</v>
      </c>
      <c r="D7" s="16">
        <v>88.64416733343181</v>
      </c>
      <c r="E7" s="16">
        <v>1604.1956592868</v>
      </c>
      <c r="F7" s="16">
        <v>41.054099021358347</v>
      </c>
      <c r="G7" s="16">
        <v>1016.321205225772</v>
      </c>
      <c r="H7" s="16">
        <v>17.78654093787193</v>
      </c>
      <c r="I7" s="16">
        <v>5574.5665702252591</v>
      </c>
      <c r="J7" s="16">
        <v>110.92721495130441</v>
      </c>
      <c r="K7" s="16">
        <v>1299.849335761601</v>
      </c>
      <c r="L7" s="16">
        <v>26.159915164812311</v>
      </c>
      <c r="M7" s="16">
        <v>7.9393398224157368</v>
      </c>
      <c r="N7" s="16">
        <v>1.39798959411448</v>
      </c>
      <c r="O7" s="16">
        <v>118.6170558832455</v>
      </c>
      <c r="P7" s="16">
        <v>6.4241071857135346</v>
      </c>
      <c r="Q7" s="16">
        <v>3636.6028339760178</v>
      </c>
      <c r="R7" s="16">
        <v>67.670830515770959</v>
      </c>
      <c r="S7" s="16">
        <v>1.340846431875732</v>
      </c>
      <c r="T7" s="16">
        <v>0.19912992965924831</v>
      </c>
      <c r="U7" s="16">
        <v>3.111893962138093</v>
      </c>
      <c r="V7" s="16">
        <v>0.88009170825016003</v>
      </c>
      <c r="W7" s="16">
        <v>23.71416578333287</v>
      </c>
      <c r="X7" s="16">
        <v>4.3752965830547312</v>
      </c>
      <c r="Y7" s="16">
        <v>24.216681517607629</v>
      </c>
      <c r="Z7" s="16">
        <v>6.0190179275674529</v>
      </c>
    </row>
    <row r="8" spans="1:26" x14ac:dyDescent="0.25">
      <c r="A8" t="s">
        <v>71</v>
      </c>
      <c r="B8" t="s">
        <v>72</v>
      </c>
      <c r="C8" s="16">
        <v>927.64968446475496</v>
      </c>
      <c r="D8" s="16">
        <v>100.7022762169849</v>
      </c>
      <c r="E8" s="16">
        <v>1537.749334685946</v>
      </c>
      <c r="F8" s="16">
        <v>42.055568568923547</v>
      </c>
      <c r="G8" s="16">
        <v>1777.3281186498641</v>
      </c>
      <c r="H8" s="16">
        <v>23.34048002484019</v>
      </c>
      <c r="I8" s="16">
        <v>5164.9554442557719</v>
      </c>
      <c r="J8" s="16">
        <v>104.35048406505121</v>
      </c>
      <c r="K8" s="16">
        <v>1698.1001197253829</v>
      </c>
      <c r="L8" s="16">
        <v>30.473338763792551</v>
      </c>
      <c r="M8" s="16">
        <v>8.4061528929929512</v>
      </c>
      <c r="N8" s="16">
        <v>1.478032726901461</v>
      </c>
      <c r="O8" s="16">
        <v>110.9842216382858</v>
      </c>
      <c r="P8" s="16">
        <v>6.199296134791747</v>
      </c>
      <c r="Q8" s="16">
        <v>2666.4788099318462</v>
      </c>
      <c r="R8" s="16">
        <v>49.856913736596638</v>
      </c>
      <c r="S8" s="16">
        <v>1.3144623206028641</v>
      </c>
      <c r="T8" s="16">
        <v>0.19407617305733429</v>
      </c>
      <c r="U8" s="16">
        <v>2.7721842274314898</v>
      </c>
      <c r="V8" s="16">
        <v>0.81525810568950852</v>
      </c>
      <c r="W8" s="16">
        <v>35.181050656916923</v>
      </c>
      <c r="X8" s="16">
        <v>5.6011701299087902</v>
      </c>
      <c r="Y8" s="16"/>
      <c r="Z8" s="16"/>
    </row>
    <row r="9" spans="1:26" x14ac:dyDescent="0.25">
      <c r="A9" t="s">
        <v>73</v>
      </c>
      <c r="B9" t="s">
        <v>74</v>
      </c>
      <c r="C9" s="16">
        <v>676.48551468365883</v>
      </c>
      <c r="D9" s="16">
        <v>87.760842649538773</v>
      </c>
      <c r="E9" s="16">
        <v>1596.489681642697</v>
      </c>
      <c r="F9" s="16">
        <v>42.663491420622428</v>
      </c>
      <c r="G9" s="16">
        <v>1384.6776787129591</v>
      </c>
      <c r="H9" s="16">
        <v>20.462493513517639</v>
      </c>
      <c r="I9" s="16">
        <v>7462.6706470742092</v>
      </c>
      <c r="J9" s="16">
        <v>144.97885089366159</v>
      </c>
      <c r="K9" s="16">
        <v>1439.397426026459</v>
      </c>
      <c r="L9" s="16">
        <v>28.03013938123658</v>
      </c>
      <c r="M9" s="16">
        <v>4.2946723890948491</v>
      </c>
      <c r="N9" s="16">
        <v>0.79280540970510094</v>
      </c>
      <c r="O9" s="16">
        <v>109.8398576406739</v>
      </c>
      <c r="P9" s="16">
        <v>6.1208288604597421</v>
      </c>
      <c r="Q9" s="16">
        <v>2299.6091625153522</v>
      </c>
      <c r="R9" s="16">
        <v>43.096840810593577</v>
      </c>
      <c r="S9" s="16">
        <v>1.071116340665657</v>
      </c>
      <c r="T9" s="16">
        <v>0.17465751765841661</v>
      </c>
      <c r="U9" s="16">
        <v>3.5195475837315491</v>
      </c>
      <c r="V9" s="16">
        <v>0.92244583890443133</v>
      </c>
      <c r="W9" s="16">
        <v>15.26847539852456</v>
      </c>
      <c r="X9" s="16">
        <v>3.550221895759182</v>
      </c>
      <c r="Y9" s="16">
        <v>18.422965191412349</v>
      </c>
      <c r="Z9" s="16">
        <v>5.5931678351607754</v>
      </c>
    </row>
    <row r="10" spans="1:26" x14ac:dyDescent="0.25">
      <c r="A10" t="s">
        <v>75</v>
      </c>
      <c r="B10" t="s">
        <v>76</v>
      </c>
      <c r="C10" s="16">
        <v>842.61185551735934</v>
      </c>
      <c r="D10" s="16">
        <v>103.5242007685503</v>
      </c>
      <c r="E10" s="16">
        <v>2124.7924786174322</v>
      </c>
      <c r="F10" s="16">
        <v>51.663457127284254</v>
      </c>
      <c r="G10" s="16">
        <v>1285.6809741439631</v>
      </c>
      <c r="H10" s="16">
        <v>21.93726176631105</v>
      </c>
      <c r="I10" s="16">
        <v>9087.0390705190839</v>
      </c>
      <c r="J10" s="16">
        <v>176.21696457565969</v>
      </c>
      <c r="K10" s="16">
        <v>1832.706791820656</v>
      </c>
      <c r="L10" s="16">
        <v>34.28202741459949</v>
      </c>
      <c r="M10" s="16">
        <v>8.5316367408463947</v>
      </c>
      <c r="N10" s="16">
        <v>1.5077585286592841</v>
      </c>
      <c r="O10" s="16">
        <v>156.50500290215899</v>
      </c>
      <c r="P10" s="16">
        <v>7.9993339139383908</v>
      </c>
      <c r="Q10" s="16">
        <v>4283.8730095127275</v>
      </c>
      <c r="R10" s="16">
        <v>79.740034368496666</v>
      </c>
      <c r="S10" s="16">
        <v>1.304499838616612</v>
      </c>
      <c r="T10" s="16">
        <v>0.20567887788195019</v>
      </c>
      <c r="U10" s="16">
        <v>2.6523080595890769</v>
      </c>
      <c r="V10" s="16">
        <v>0.87189343591435009</v>
      </c>
      <c r="W10" s="16">
        <v>17.512468839651849</v>
      </c>
      <c r="X10" s="16">
        <v>3.9799975779320742</v>
      </c>
      <c r="Y10" s="16">
        <v>22.783062155614399</v>
      </c>
      <c r="Z10" s="16">
        <v>6.2244118170984537</v>
      </c>
    </row>
    <row r="11" spans="1:26" x14ac:dyDescent="0.25">
      <c r="A11" t="s">
        <v>77</v>
      </c>
      <c r="B11" t="s">
        <v>78</v>
      </c>
      <c r="C11" s="16">
        <v>842.47120923868829</v>
      </c>
      <c r="D11" s="16">
        <v>103.1132353265056</v>
      </c>
      <c r="E11" s="16">
        <v>2135.8147322074469</v>
      </c>
      <c r="F11" s="16">
        <v>50.564107007738073</v>
      </c>
      <c r="G11" s="16">
        <v>1353.77490217319</v>
      </c>
      <c r="H11" s="16">
        <v>21.811905991427668</v>
      </c>
      <c r="I11" s="16">
        <v>9218.8267913897434</v>
      </c>
      <c r="J11" s="16">
        <v>178.0255602360632</v>
      </c>
      <c r="K11" s="16">
        <v>1780.45870538085</v>
      </c>
      <c r="L11" s="16">
        <v>33.050643075649987</v>
      </c>
      <c r="M11" s="16">
        <v>5.4570972048147732</v>
      </c>
      <c r="N11" s="16">
        <v>0.99640202859278593</v>
      </c>
      <c r="O11" s="16">
        <v>185.83870714718319</v>
      </c>
      <c r="P11" s="16">
        <v>8.913077771585181</v>
      </c>
      <c r="Q11" s="16">
        <v>4828.3016104280096</v>
      </c>
      <c r="R11" s="16">
        <v>89.703558826669067</v>
      </c>
      <c r="S11" s="16">
        <v>1.241019364726911</v>
      </c>
      <c r="T11" s="16">
        <v>0.20362972247149</v>
      </c>
      <c r="U11" s="16">
        <v>4.3198502128262328</v>
      </c>
      <c r="V11" s="16">
        <v>1.1141643468533471</v>
      </c>
      <c r="W11" s="16">
        <v>23.485440415207488</v>
      </c>
      <c r="X11" s="16">
        <v>4.6455983026675138</v>
      </c>
      <c r="Y11" s="16">
        <v>20.535022808792629</v>
      </c>
      <c r="Z11" s="16">
        <v>6.7510897734396353</v>
      </c>
    </row>
    <row r="12" spans="1:26" x14ac:dyDescent="0.25">
      <c r="A12" t="s">
        <v>79</v>
      </c>
      <c r="B12" t="s">
        <v>80</v>
      </c>
      <c r="C12" s="16">
        <v>933.08128241684483</v>
      </c>
      <c r="D12" s="16">
        <v>101.04474189842431</v>
      </c>
      <c r="E12" s="16">
        <v>1612.680307637746</v>
      </c>
      <c r="F12" s="16">
        <v>43.211033076488008</v>
      </c>
      <c r="G12" s="16">
        <v>1711.8749875013409</v>
      </c>
      <c r="H12" s="16">
        <v>22.802871454714829</v>
      </c>
      <c r="I12" s="16">
        <v>5664.0533721508336</v>
      </c>
      <c r="J12" s="16">
        <v>112.80172280822789</v>
      </c>
      <c r="K12" s="16">
        <v>1273.4422746126779</v>
      </c>
      <c r="L12" s="16">
        <v>26.30671017013762</v>
      </c>
      <c r="M12" s="16">
        <v>4.2071014036937289</v>
      </c>
      <c r="N12" s="16">
        <v>0.7751411948694602</v>
      </c>
      <c r="O12" s="16">
        <v>138.40493793247131</v>
      </c>
      <c r="P12" s="16">
        <v>6.902601962009836</v>
      </c>
      <c r="Q12" s="16">
        <v>2399.4857232564682</v>
      </c>
      <c r="R12" s="16">
        <v>44.928933149110193</v>
      </c>
      <c r="S12" s="16">
        <v>0.80468218325363383</v>
      </c>
      <c r="T12" s="16">
        <v>0.14760990211688621</v>
      </c>
      <c r="U12" s="16">
        <v>2.4241143980220881</v>
      </c>
      <c r="V12" s="16">
        <v>0.74282429266053185</v>
      </c>
      <c r="W12" s="16">
        <v>17.61954954523237</v>
      </c>
      <c r="X12" s="16">
        <v>3.5411580046025359</v>
      </c>
      <c r="Y12" s="16">
        <v>16.092736341972639</v>
      </c>
      <c r="Z12" s="16">
        <v>5.0232707836142119</v>
      </c>
    </row>
    <row r="13" spans="1:26" x14ac:dyDescent="0.25">
      <c r="A13" t="s">
        <v>81</v>
      </c>
      <c r="B13" t="s">
        <v>82</v>
      </c>
      <c r="C13" s="16">
        <v>952.81927329636721</v>
      </c>
      <c r="D13" s="16">
        <v>105.8782868879714</v>
      </c>
      <c r="E13" s="16">
        <v>1494.6303788087521</v>
      </c>
      <c r="F13" s="16">
        <v>42.959558398890699</v>
      </c>
      <c r="G13" s="16">
        <v>1403.4624526606981</v>
      </c>
      <c r="H13" s="16">
        <v>21.71631986223429</v>
      </c>
      <c r="I13" s="16">
        <v>6484.535785256774</v>
      </c>
      <c r="J13" s="16">
        <v>128.4179007244891</v>
      </c>
      <c r="K13" s="16">
        <v>1325.5144077426221</v>
      </c>
      <c r="L13" s="16">
        <v>28.118671942543489</v>
      </c>
      <c r="M13" s="16">
        <v>9.5073993227404632</v>
      </c>
      <c r="N13" s="16">
        <v>1.668431576004817</v>
      </c>
      <c r="O13" s="16">
        <v>202.7941673972696</v>
      </c>
      <c r="P13" s="16">
        <v>9.3736193331576878</v>
      </c>
      <c r="Q13" s="16">
        <v>4631.6506896129649</v>
      </c>
      <c r="R13" s="16">
        <v>86.067283970286113</v>
      </c>
      <c r="S13" s="16">
        <v>1.520355638209743</v>
      </c>
      <c r="T13" s="16">
        <v>0.22075124739611299</v>
      </c>
      <c r="U13" s="16">
        <v>3.703648818109782</v>
      </c>
      <c r="V13" s="16">
        <v>0.99036717793103302</v>
      </c>
      <c r="W13" s="16">
        <v>20.487934795768751</v>
      </c>
      <c r="X13" s="16">
        <v>4.1871396287796223</v>
      </c>
      <c r="Y13" s="16">
        <v>24.93248711187195</v>
      </c>
      <c r="Z13" s="16">
        <v>6.2376399320825087</v>
      </c>
    </row>
    <row r="14" spans="1:26" x14ac:dyDescent="0.25">
      <c r="A14" t="s">
        <v>83</v>
      </c>
      <c r="B14" t="s">
        <v>84</v>
      </c>
      <c r="C14" s="16">
        <v>1333.5513787339521</v>
      </c>
      <c r="D14" s="16">
        <v>137.73852908214531</v>
      </c>
      <c r="E14" s="16">
        <v>2296.946477169693</v>
      </c>
      <c r="F14" s="16">
        <v>54.96350003787957</v>
      </c>
      <c r="G14" s="16">
        <v>2325.3444255678878</v>
      </c>
      <c r="H14" s="16">
        <v>29.59637710054642</v>
      </c>
      <c r="I14" s="16">
        <v>10857.11261087823</v>
      </c>
      <c r="J14" s="16">
        <v>208.28110853498131</v>
      </c>
      <c r="K14" s="16">
        <v>1457.844758814437</v>
      </c>
      <c r="L14" s="16">
        <v>31.20533329311753</v>
      </c>
      <c r="M14" s="16">
        <v>8.8199254857562206</v>
      </c>
      <c r="N14" s="16">
        <v>1.5601051266633219</v>
      </c>
      <c r="O14" s="16">
        <v>220.66205410036949</v>
      </c>
      <c r="P14" s="16">
        <v>10.279988351822229</v>
      </c>
      <c r="Q14" s="16">
        <v>7220.1114125965687</v>
      </c>
      <c r="R14" s="16">
        <v>133.77657201355851</v>
      </c>
      <c r="S14" s="16">
        <v>1.755211318150095</v>
      </c>
      <c r="T14" s="16">
        <v>0.25371238458624118</v>
      </c>
      <c r="U14" s="16">
        <v>4.5314934839294274</v>
      </c>
      <c r="V14" s="16">
        <v>1.176132670796403</v>
      </c>
      <c r="W14" s="16">
        <v>27.789137825526051</v>
      </c>
      <c r="X14" s="16">
        <v>5.2362811736660957</v>
      </c>
      <c r="Y14" s="16">
        <v>33.886825795071132</v>
      </c>
      <c r="Z14" s="16">
        <v>7.6109042307872796</v>
      </c>
    </row>
    <row r="15" spans="1:26" x14ac:dyDescent="0.25">
      <c r="A15" t="s">
        <v>85</v>
      </c>
      <c r="B15" t="s">
        <v>86</v>
      </c>
      <c r="C15" s="16">
        <v>1220.4912027850619</v>
      </c>
      <c r="D15" s="16">
        <v>122.32016062487899</v>
      </c>
      <c r="E15" s="16">
        <v>1707.009521622776</v>
      </c>
      <c r="F15" s="16">
        <v>45.929301683625212</v>
      </c>
      <c r="G15" s="16">
        <v>1373.9905650782009</v>
      </c>
      <c r="H15" s="16">
        <v>21.370955713377569</v>
      </c>
      <c r="I15" s="16">
        <v>7210.1271816636172</v>
      </c>
      <c r="J15" s="16">
        <v>141.30596308729241</v>
      </c>
      <c r="K15" s="16">
        <v>1879.964904310993</v>
      </c>
      <c r="L15" s="16">
        <v>33.100788145974008</v>
      </c>
      <c r="M15" s="16">
        <v>9.2956227798550835</v>
      </c>
      <c r="N15" s="16">
        <v>1.6333891642119409</v>
      </c>
      <c r="O15" s="16">
        <v>151.48731977022089</v>
      </c>
      <c r="P15" s="16">
        <v>7.731549528986208</v>
      </c>
      <c r="Q15" s="16">
        <v>6106.3323454606216</v>
      </c>
      <c r="R15" s="16">
        <v>113.1719042280498</v>
      </c>
      <c r="S15" s="16">
        <v>1.597119660254029</v>
      </c>
      <c r="T15" s="16">
        <v>0.23037183728196201</v>
      </c>
      <c r="U15" s="16">
        <v>4.1993505356478984</v>
      </c>
      <c r="V15" s="16">
        <v>1.0761523785719209</v>
      </c>
      <c r="W15" s="16">
        <v>16.192586995347469</v>
      </c>
      <c r="X15" s="16">
        <v>3.9000511443211261</v>
      </c>
      <c r="Y15" s="16">
        <v>23.449874446401779</v>
      </c>
      <c r="Z15" s="16">
        <v>6.5423884728715311</v>
      </c>
    </row>
    <row r="16" spans="1:26" x14ac:dyDescent="0.25">
      <c r="A16" t="s">
        <v>87</v>
      </c>
      <c r="B16" t="s">
        <v>88</v>
      </c>
      <c r="C16" s="16">
        <v>1361.912673775957</v>
      </c>
      <c r="D16" s="16">
        <v>129.0076018880649</v>
      </c>
      <c r="E16" s="16">
        <v>1267.4416001462409</v>
      </c>
      <c r="F16" s="16">
        <v>40.964651998640008</v>
      </c>
      <c r="G16" s="16">
        <v>939.18195056281604</v>
      </c>
      <c r="H16" s="16">
        <v>18.28031951034302</v>
      </c>
      <c r="I16" s="16">
        <v>6092.5220727327178</v>
      </c>
      <c r="J16" s="16">
        <v>121.48734514452801</v>
      </c>
      <c r="K16" s="16">
        <v>1658.36909171569</v>
      </c>
      <c r="L16" s="16">
        <v>30.907655029168978</v>
      </c>
      <c r="M16" s="16">
        <v>11.93557646182035</v>
      </c>
      <c r="N16" s="16">
        <v>2.0812852433308131</v>
      </c>
      <c r="O16" s="16">
        <v>265.98882429856269</v>
      </c>
      <c r="P16" s="16">
        <v>11.624209750585919</v>
      </c>
      <c r="Q16" s="16">
        <v>6779.3238439953757</v>
      </c>
      <c r="R16" s="16">
        <v>125.5893726741818</v>
      </c>
      <c r="S16" s="16">
        <v>1.7802597316113551</v>
      </c>
      <c r="T16" s="16">
        <v>0.24877170645834659</v>
      </c>
      <c r="U16" s="16">
        <v>3.49580694646493</v>
      </c>
      <c r="V16" s="16">
        <v>0.99436340672093082</v>
      </c>
      <c r="W16" s="16">
        <v>17.59851590139866</v>
      </c>
      <c r="X16" s="16">
        <v>4.112502659936351</v>
      </c>
      <c r="Y16" s="16">
        <v>30.85552335155824</v>
      </c>
      <c r="Z16" s="16">
        <v>7.0496204633726771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4" ht="15.75" x14ac:dyDescent="0.25">
      <c r="A1" s="11" t="s">
        <v>90</v>
      </c>
    </row>
    <row r="3" spans="1:24" x14ac:dyDescent="0.25">
      <c r="C3" s="15" t="s">
        <v>44</v>
      </c>
      <c r="E3" s="15" t="s">
        <v>45</v>
      </c>
      <c r="G3" s="15" t="s">
        <v>46</v>
      </c>
      <c r="I3" s="15" t="s">
        <v>47</v>
      </c>
      <c r="K3" s="15" t="s">
        <v>48</v>
      </c>
      <c r="M3" s="15" t="s">
        <v>49</v>
      </c>
      <c r="O3" s="15" t="s">
        <v>50</v>
      </c>
      <c r="Q3" s="15" t="s">
        <v>51</v>
      </c>
      <c r="S3" s="15" t="s">
        <v>52</v>
      </c>
      <c r="U3" s="15" t="s">
        <v>53</v>
      </c>
      <c r="W3" s="15" t="s">
        <v>57</v>
      </c>
    </row>
    <row r="4" spans="1:24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</row>
    <row r="5" spans="1:24" x14ac:dyDescent="0.25">
      <c r="A5" s="15" t="s">
        <v>42</v>
      </c>
      <c r="C5" s="16">
        <v>711.83200324609163</v>
      </c>
      <c r="E5" s="16">
        <v>160.8539765583148</v>
      </c>
      <c r="G5" s="16">
        <v>38.966807425994041</v>
      </c>
      <c r="I5" s="16">
        <v>28.290218906380801</v>
      </c>
      <c r="K5" s="16">
        <v>1.2166443761330989</v>
      </c>
      <c r="M5" s="16">
        <v>6.9177922333634454</v>
      </c>
      <c r="O5" s="16">
        <v>5.2566551359708136</v>
      </c>
      <c r="Q5" s="16">
        <v>0.3595150604520484</v>
      </c>
      <c r="S5" s="16">
        <v>1.347656367903336</v>
      </c>
      <c r="U5" s="16">
        <v>2.9360345790352889</v>
      </c>
      <c r="W5" s="16">
        <v>4.7078939401237734E-3</v>
      </c>
    </row>
    <row r="6" spans="1:24" x14ac:dyDescent="0.25">
      <c r="A6" t="s">
        <v>67</v>
      </c>
      <c r="B6" t="s">
        <v>68</v>
      </c>
      <c r="C6" s="16">
        <v>9600</v>
      </c>
      <c r="D6" s="16">
        <v>632.91396199179349</v>
      </c>
      <c r="E6" s="16">
        <v>6600</v>
      </c>
      <c r="F6" s="16">
        <v>165.13798119636141</v>
      </c>
      <c r="G6" s="16">
        <v>26760</v>
      </c>
      <c r="H6" s="16">
        <v>493.82174579015032</v>
      </c>
      <c r="I6" s="16">
        <v>50450</v>
      </c>
      <c r="J6" s="16">
        <v>564.65387726319182</v>
      </c>
      <c r="K6" s="16">
        <v>1.988</v>
      </c>
      <c r="L6" s="16">
        <v>0.80014644499116772</v>
      </c>
      <c r="M6" s="16">
        <v>246.3</v>
      </c>
      <c r="N6" s="16">
        <v>9.2938701429847015</v>
      </c>
      <c r="O6" s="16">
        <v>367.5</v>
      </c>
      <c r="P6" s="16">
        <v>6.8410117839398188</v>
      </c>
      <c r="Q6" s="16">
        <v>1.5820000000000001</v>
      </c>
      <c r="R6" s="16">
        <v>0.38343185704852428</v>
      </c>
      <c r="S6" s="16">
        <v>4.7</v>
      </c>
      <c r="T6" s="16">
        <v>1.440318490949797</v>
      </c>
      <c r="U6" s="16">
        <v>30.94</v>
      </c>
      <c r="V6" s="16">
        <v>3.234778931207325</v>
      </c>
      <c r="W6" s="16">
        <v>5.4300000000000001E-2</v>
      </c>
      <c r="X6" s="16">
        <v>6.7111022268776764E-3</v>
      </c>
    </row>
    <row r="7" spans="1:24" x14ac:dyDescent="0.25">
      <c r="A7" t="s">
        <v>69</v>
      </c>
      <c r="B7" t="s">
        <v>70</v>
      </c>
      <c r="C7" s="16">
        <v>1962.607700843256</v>
      </c>
      <c r="D7" s="16">
        <v>298.60233369373958</v>
      </c>
      <c r="E7" s="16">
        <v>1749.85525328415</v>
      </c>
      <c r="F7" s="16">
        <v>77.170149825617273</v>
      </c>
      <c r="G7" s="16">
        <v>8326.0958840730927</v>
      </c>
      <c r="H7" s="16">
        <v>158.9470344965477</v>
      </c>
      <c r="I7" s="16">
        <v>2672.9303604483462</v>
      </c>
      <c r="J7" s="16">
        <v>39.54839160906397</v>
      </c>
      <c r="K7" s="16">
        <v>8.9332092954039197</v>
      </c>
      <c r="L7" s="16">
        <v>2.6529597781050098</v>
      </c>
      <c r="M7" s="16">
        <v>420.74856265593297</v>
      </c>
      <c r="N7" s="16">
        <v>15.13269234637106</v>
      </c>
      <c r="O7" s="16">
        <v>5655.8146034663678</v>
      </c>
      <c r="P7" s="16">
        <v>88.660077148753203</v>
      </c>
      <c r="Q7" s="16">
        <v>2.0096887951091711</v>
      </c>
      <c r="R7" s="16">
        <v>0.45401561204607249</v>
      </c>
      <c r="S7" s="16">
        <v>6.1930289797538718</v>
      </c>
      <c r="T7" s="16">
        <v>1.745050995538302</v>
      </c>
      <c r="U7" s="16">
        <v>30.166619521195859</v>
      </c>
      <c r="V7" s="16">
        <v>3.227128690781726</v>
      </c>
      <c r="W7" s="16">
        <v>5.8907323447679988E-2</v>
      </c>
      <c r="X7" s="16">
        <v>6.9116800879966134E-3</v>
      </c>
    </row>
    <row r="8" spans="1:24" x14ac:dyDescent="0.25">
      <c r="A8" t="s">
        <v>71</v>
      </c>
      <c r="B8" t="s">
        <v>72</v>
      </c>
      <c r="C8" s="16">
        <v>1890.409568681599</v>
      </c>
      <c r="D8" s="16">
        <v>291.26502089965089</v>
      </c>
      <c r="E8" s="16">
        <v>2580.5194644645262</v>
      </c>
      <c r="F8" s="16">
        <v>90.515915466260424</v>
      </c>
      <c r="G8" s="16">
        <v>7523.7994965311391</v>
      </c>
      <c r="H8" s="16">
        <v>144.3130635248811</v>
      </c>
      <c r="I8" s="16">
        <v>2601.4873193029248</v>
      </c>
      <c r="J8" s="16">
        <v>38.551107052601367</v>
      </c>
      <c r="K8" s="16">
        <v>31.849319560582511</v>
      </c>
      <c r="L8" s="16">
        <v>9.1100746323776089</v>
      </c>
      <c r="M8" s="16">
        <v>152.14016909458601</v>
      </c>
      <c r="N8" s="16">
        <v>6.7087450751318638</v>
      </c>
      <c r="O8" s="16">
        <v>5439.4237937249927</v>
      </c>
      <c r="P8" s="16">
        <v>85.274985453780602</v>
      </c>
      <c r="Q8" s="16">
        <v>4.1220804312766566</v>
      </c>
      <c r="R8" s="16">
        <v>0.76813295079174537</v>
      </c>
      <c r="S8" s="16">
        <v>2.7264145578618142</v>
      </c>
      <c r="T8" s="16">
        <v>1.22159437781527</v>
      </c>
      <c r="U8" s="16">
        <v>59.920236022797731</v>
      </c>
      <c r="V8" s="16">
        <v>5.0548297474036286</v>
      </c>
      <c r="W8" s="16">
        <v>6.771915806951416E-2</v>
      </c>
      <c r="X8" s="16">
        <v>7.410021646296997E-3</v>
      </c>
    </row>
    <row r="9" spans="1:24" x14ac:dyDescent="0.25">
      <c r="A9" t="s">
        <v>73</v>
      </c>
      <c r="B9" t="s">
        <v>74</v>
      </c>
      <c r="C9" s="16">
        <v>1996.2983679821659</v>
      </c>
      <c r="D9" s="16">
        <v>310.81156396695502</v>
      </c>
      <c r="E9" s="16">
        <v>2359.1043841578189</v>
      </c>
      <c r="F9" s="16">
        <v>90.078125855430102</v>
      </c>
      <c r="G9" s="16">
        <v>11093.95493050386</v>
      </c>
      <c r="H9" s="16">
        <v>209.63224374000481</v>
      </c>
      <c r="I9" s="16">
        <v>2938.218178628802</v>
      </c>
      <c r="J9" s="16">
        <v>43.212118706477611</v>
      </c>
      <c r="K9" s="16">
        <v>6.0418732899793426</v>
      </c>
      <c r="L9" s="16">
        <v>1.88951289831758</v>
      </c>
      <c r="M9" s="16">
        <v>154.38963412775149</v>
      </c>
      <c r="N9" s="16">
        <v>7.0369368965037964</v>
      </c>
      <c r="O9" s="16">
        <v>5839.8546998065531</v>
      </c>
      <c r="P9" s="16">
        <v>91.575458992490482</v>
      </c>
      <c r="Q9" s="16">
        <v>1.9924875549471059</v>
      </c>
      <c r="R9" s="16">
        <v>0.47704942652855381</v>
      </c>
      <c r="S9" s="16">
        <v>6.0816428126944624</v>
      </c>
      <c r="T9" s="16">
        <v>1.832908978585307</v>
      </c>
      <c r="U9" s="16">
        <v>27.099691732997609</v>
      </c>
      <c r="V9" s="16">
        <v>3.3309654376540561</v>
      </c>
      <c r="W9" s="16">
        <v>7.7785230192772933E-2</v>
      </c>
      <c r="X9" s="16">
        <v>8.7547546779643739E-3</v>
      </c>
    </row>
    <row r="10" spans="1:24" x14ac:dyDescent="0.25">
      <c r="A10" t="s">
        <v>75</v>
      </c>
      <c r="B10" t="s">
        <v>76</v>
      </c>
      <c r="C10" s="16">
        <v>2327.2124426346309</v>
      </c>
      <c r="D10" s="16">
        <v>330.08372290149492</v>
      </c>
      <c r="E10" s="16">
        <v>1958.8502779195601</v>
      </c>
      <c r="F10" s="16">
        <v>84.580218673140578</v>
      </c>
      <c r="G10" s="16">
        <v>12341.660600122361</v>
      </c>
      <c r="H10" s="16">
        <v>232.25298136295081</v>
      </c>
      <c r="I10" s="16">
        <v>2991.650137457515</v>
      </c>
      <c r="J10" s="16">
        <v>43.834795598805208</v>
      </c>
      <c r="K10" s="16">
        <v>24.881488294792579</v>
      </c>
      <c r="L10" s="16">
        <v>7.1399408306734076</v>
      </c>
      <c r="M10" s="16">
        <v>229.38257367343169</v>
      </c>
      <c r="N10" s="16">
        <v>9.1744625900334444</v>
      </c>
      <c r="O10" s="16">
        <v>7493.6865450775804</v>
      </c>
      <c r="P10" s="16">
        <v>117.2684354986046</v>
      </c>
      <c r="Q10" s="16">
        <v>3.7686706437548732</v>
      </c>
      <c r="R10" s="16">
        <v>0.72293547021643279</v>
      </c>
      <c r="S10" s="16">
        <v>5.1652807507477707</v>
      </c>
      <c r="T10" s="16">
        <v>1.6011129643525179</v>
      </c>
      <c r="U10" s="16">
        <v>26.030842068818451</v>
      </c>
      <c r="V10" s="16">
        <v>3.1447124209226538</v>
      </c>
      <c r="W10" s="16">
        <v>6.2537385040913718E-2</v>
      </c>
      <c r="X10" s="16">
        <v>7.3534948547861407E-3</v>
      </c>
    </row>
    <row r="11" spans="1:24" x14ac:dyDescent="0.25">
      <c r="A11" t="s">
        <v>77</v>
      </c>
      <c r="B11" t="s">
        <v>78</v>
      </c>
      <c r="C11" s="16">
        <v>2475.6374449933792</v>
      </c>
      <c r="D11" s="16">
        <v>350.14175384288029</v>
      </c>
      <c r="E11" s="16">
        <v>2220.8298780433952</v>
      </c>
      <c r="F11" s="16">
        <v>91.397924236473116</v>
      </c>
      <c r="G11" s="16">
        <v>13589.59326668484</v>
      </c>
      <c r="H11" s="16">
        <v>255.0892125059604</v>
      </c>
      <c r="I11" s="16">
        <v>3168.5429986404188</v>
      </c>
      <c r="J11" s="16">
        <v>45.970177148878342</v>
      </c>
      <c r="K11" s="16">
        <v>19.178969472134199</v>
      </c>
      <c r="L11" s="16">
        <v>5.5326823954144571</v>
      </c>
      <c r="M11" s="16">
        <v>287.37221208242289</v>
      </c>
      <c r="N11" s="16">
        <v>11.08229887997398</v>
      </c>
      <c r="O11" s="16">
        <v>8763.1619509214252</v>
      </c>
      <c r="P11" s="16">
        <v>137.01705480456189</v>
      </c>
      <c r="Q11" s="16">
        <v>3.014832372633907</v>
      </c>
      <c r="R11" s="16">
        <v>0.62463134333160508</v>
      </c>
      <c r="S11" s="16">
        <v>7.1779830218762113</v>
      </c>
      <c r="T11" s="16">
        <v>2.0145951541487941</v>
      </c>
      <c r="U11" s="16">
        <v>37.731017863905848</v>
      </c>
      <c r="V11" s="16">
        <v>3.9570168729351449</v>
      </c>
      <c r="W11" s="16">
        <v>9.9763462678798806E-2</v>
      </c>
      <c r="X11" s="16">
        <v>1.0535410108522219E-2</v>
      </c>
    </row>
    <row r="12" spans="1:24" x14ac:dyDescent="0.25">
      <c r="A12" t="s">
        <v>79</v>
      </c>
      <c r="B12" t="s">
        <v>80</v>
      </c>
      <c r="C12" s="16">
        <v>2107.171977746455</v>
      </c>
      <c r="D12" s="16">
        <v>315.67745442102148</v>
      </c>
      <c r="E12" s="16">
        <v>2780.211632436311</v>
      </c>
      <c r="F12" s="16">
        <v>97.741418936337965</v>
      </c>
      <c r="G12" s="16">
        <v>9278.0466385252985</v>
      </c>
      <c r="H12" s="16">
        <v>176.6131343395939</v>
      </c>
      <c r="I12" s="16">
        <v>2744.9221126626949</v>
      </c>
      <c r="J12" s="16">
        <v>40.845923213383116</v>
      </c>
      <c r="K12" s="16">
        <v>11.803818610456791</v>
      </c>
      <c r="L12" s="16">
        <v>3.4478907409623689</v>
      </c>
      <c r="M12" s="16">
        <v>187.59085371699251</v>
      </c>
      <c r="N12" s="16">
        <v>7.816648232140551</v>
      </c>
      <c r="O12" s="16">
        <v>4616.8289374094329</v>
      </c>
      <c r="P12" s="16">
        <v>72.558034864317833</v>
      </c>
      <c r="Q12" s="16">
        <v>2.0967684601628509</v>
      </c>
      <c r="R12" s="16">
        <v>0.46498085971625602</v>
      </c>
      <c r="S12" s="16">
        <v>4.640969845947569</v>
      </c>
      <c r="T12" s="16">
        <v>1.4915250931859769</v>
      </c>
      <c r="U12" s="16">
        <v>26.606071178372979</v>
      </c>
      <c r="V12" s="16">
        <v>3.0399675857491282</v>
      </c>
      <c r="W12" s="16">
        <v>5.259900153058332E-2</v>
      </c>
      <c r="X12" s="16">
        <v>6.4709520783220913E-3</v>
      </c>
    </row>
    <row r="13" spans="1:24" x14ac:dyDescent="0.25">
      <c r="A13" t="s">
        <v>81</v>
      </c>
      <c r="B13" t="s">
        <v>82</v>
      </c>
      <c r="C13" s="16">
        <v>1973.2962151605329</v>
      </c>
      <c r="D13" s="16">
        <v>314.51662555809071</v>
      </c>
      <c r="E13" s="16">
        <v>2331.8851686269741</v>
      </c>
      <c r="F13" s="16">
        <v>89.578795869633922</v>
      </c>
      <c r="G13" s="16">
        <v>9885.3759136424851</v>
      </c>
      <c r="H13" s="16">
        <v>187.76333598600439</v>
      </c>
      <c r="I13" s="16">
        <v>2390.6474892288361</v>
      </c>
      <c r="J13" s="16">
        <v>37.231752746832633</v>
      </c>
      <c r="K13" s="16">
        <v>43.810241071401563</v>
      </c>
      <c r="L13" s="16">
        <v>12.51667751500697</v>
      </c>
      <c r="M13" s="16">
        <v>255.6840342201327</v>
      </c>
      <c r="N13" s="16">
        <v>10.08825490796128</v>
      </c>
      <c r="O13" s="16">
        <v>11343.696135309079</v>
      </c>
      <c r="P13" s="16">
        <v>177.11942016173131</v>
      </c>
      <c r="Q13" s="16">
        <v>6.7295542326285904</v>
      </c>
      <c r="R13" s="16">
        <v>1.2108673531199621</v>
      </c>
      <c r="S13" s="16">
        <v>8.4162024154450776</v>
      </c>
      <c r="T13" s="16">
        <v>2.2142240866863498</v>
      </c>
      <c r="U13" s="16">
        <v>42.045838372345393</v>
      </c>
      <c r="V13" s="16">
        <v>4.1778111630603751</v>
      </c>
      <c r="W13" s="16">
        <v>8.0866676543993196E-2</v>
      </c>
      <c r="X13" s="16">
        <v>9.1242237889914042E-3</v>
      </c>
    </row>
    <row r="14" spans="1:24" x14ac:dyDescent="0.25">
      <c r="A14" t="s">
        <v>83</v>
      </c>
      <c r="B14" t="s">
        <v>84</v>
      </c>
      <c r="C14" s="16">
        <v>2400.0064152302698</v>
      </c>
      <c r="D14" s="16">
        <v>358.59618094280148</v>
      </c>
      <c r="E14" s="16">
        <v>3460.0842924200542</v>
      </c>
      <c r="F14" s="16">
        <v>112.1762511914154</v>
      </c>
      <c r="G14" s="16">
        <v>14079.076741581879</v>
      </c>
      <c r="H14" s="16">
        <v>264.12175961424299</v>
      </c>
      <c r="I14" s="16">
        <v>2432.791184167776</v>
      </c>
      <c r="J14" s="16">
        <v>38.613042817798039</v>
      </c>
      <c r="K14" s="16">
        <v>24.396768914534011</v>
      </c>
      <c r="L14" s="16">
        <v>7.0010367560764308</v>
      </c>
      <c r="M14" s="16">
        <v>223.40071393526961</v>
      </c>
      <c r="N14" s="16">
        <v>8.9836788432891321</v>
      </c>
      <c r="O14" s="16">
        <v>6809.5578347847077</v>
      </c>
      <c r="P14" s="16">
        <v>106.66779787974239</v>
      </c>
      <c r="Q14" s="16">
        <v>3.473477429734571</v>
      </c>
      <c r="R14" s="16">
        <v>0.67493434415230091</v>
      </c>
      <c r="S14" s="16">
        <v>3.843543396840905</v>
      </c>
      <c r="T14" s="16">
        <v>1.4018262649613269</v>
      </c>
      <c r="U14" s="16">
        <v>24.642236183942391</v>
      </c>
      <c r="V14" s="16">
        <v>3.0712839894124189</v>
      </c>
      <c r="W14" s="16">
        <v>6.4383077256660981E-2</v>
      </c>
      <c r="X14" s="16">
        <v>7.4825214301985146E-3</v>
      </c>
    </row>
    <row r="15" spans="1:24" x14ac:dyDescent="0.25">
      <c r="A15" t="s">
        <v>85</v>
      </c>
      <c r="B15" t="s">
        <v>86</v>
      </c>
      <c r="C15" s="16">
        <v>2740.268588200302</v>
      </c>
      <c r="D15" s="16">
        <v>378.213944323058</v>
      </c>
      <c r="E15" s="16">
        <v>2465.2580913450479</v>
      </c>
      <c r="F15" s="16">
        <v>101.24323845713459</v>
      </c>
      <c r="G15" s="16">
        <v>11844.518781861711</v>
      </c>
      <c r="H15" s="16">
        <v>224.4696221761013</v>
      </c>
      <c r="I15" s="16">
        <v>3808.6694394688411</v>
      </c>
      <c r="J15" s="16">
        <v>53.980276844533627</v>
      </c>
      <c r="K15" s="16">
        <v>37.513599628628377</v>
      </c>
      <c r="L15" s="16">
        <v>10.737651252122291</v>
      </c>
      <c r="M15" s="16">
        <v>290.43893384751709</v>
      </c>
      <c r="N15" s="16">
        <v>11.482114730784961</v>
      </c>
      <c r="O15" s="16">
        <v>12917.372944579511</v>
      </c>
      <c r="P15" s="16">
        <v>201.68591305180871</v>
      </c>
      <c r="Q15" s="16">
        <v>5.6432599202279201</v>
      </c>
      <c r="R15" s="16">
        <v>1.0487968290910441</v>
      </c>
      <c r="S15" s="16">
        <v>14.17267547267547</v>
      </c>
      <c r="T15" s="16">
        <v>3.399519884051192</v>
      </c>
      <c r="U15" s="16">
        <v>37.277125802579263</v>
      </c>
      <c r="V15" s="16">
        <v>4.1603185720388822</v>
      </c>
      <c r="W15" s="16">
        <v>0.1090732026143791</v>
      </c>
      <c r="X15" s="16">
        <v>1.159009409941073E-2</v>
      </c>
    </row>
    <row r="16" spans="1:24" x14ac:dyDescent="0.25">
      <c r="A16" t="s">
        <v>87</v>
      </c>
      <c r="B16" t="s">
        <v>88</v>
      </c>
      <c r="C16" s="16">
        <v>1291.6935030037259</v>
      </c>
      <c r="D16" s="16">
        <v>311.99023298692669</v>
      </c>
      <c r="E16" s="16">
        <v>1536.1961085116211</v>
      </c>
      <c r="F16" s="16">
        <v>79.814244120139591</v>
      </c>
      <c r="G16" s="16">
        <v>9460.5847474468028</v>
      </c>
      <c r="H16" s="16">
        <v>180.21872620902349</v>
      </c>
      <c r="I16" s="16">
        <v>2872.595379212994</v>
      </c>
      <c r="J16" s="16">
        <v>42.58279925678282</v>
      </c>
      <c r="K16" s="16">
        <v>39.595648007158353</v>
      </c>
      <c r="L16" s="16">
        <v>11.320850842089479</v>
      </c>
      <c r="M16" s="16">
        <v>290.12191117776001</v>
      </c>
      <c r="N16" s="16">
        <v>11.18843549719953</v>
      </c>
      <c r="O16" s="16">
        <v>12829.372728746721</v>
      </c>
      <c r="P16" s="16">
        <v>200.22696677087981</v>
      </c>
      <c r="Q16" s="16">
        <v>5.5962421526898991</v>
      </c>
      <c r="R16" s="16">
        <v>1.024846405186751</v>
      </c>
      <c r="S16" s="16">
        <v>6.8971312612231186</v>
      </c>
      <c r="T16" s="16">
        <v>1.9429496864888181</v>
      </c>
      <c r="U16" s="16">
        <v>39.929231294506032</v>
      </c>
      <c r="V16" s="16">
        <v>4.0335828729112446</v>
      </c>
      <c r="W16" s="16">
        <v>9.1956080927545994E-2</v>
      </c>
      <c r="X16" s="16">
        <v>9.8637436136645978E-3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4" ht="15.75" x14ac:dyDescent="0.25">
      <c r="A1" s="11" t="s">
        <v>91</v>
      </c>
    </row>
    <row r="3" spans="1:24" x14ac:dyDescent="0.25">
      <c r="C3" s="15" t="s">
        <v>44</v>
      </c>
      <c r="E3" s="15" t="s">
        <v>45</v>
      </c>
      <c r="G3" s="15" t="s">
        <v>46</v>
      </c>
      <c r="I3" s="15" t="s">
        <v>47</v>
      </c>
      <c r="K3" s="15" t="s">
        <v>48</v>
      </c>
      <c r="M3" s="15" t="s">
        <v>49</v>
      </c>
      <c r="O3" s="15" t="s">
        <v>50</v>
      </c>
      <c r="Q3" s="15" t="s">
        <v>51</v>
      </c>
      <c r="S3" s="15" t="s">
        <v>52</v>
      </c>
      <c r="U3" s="15" t="s">
        <v>53</v>
      </c>
      <c r="W3" s="15" t="s">
        <v>57</v>
      </c>
    </row>
    <row r="4" spans="1:24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</row>
    <row r="5" spans="1:24" x14ac:dyDescent="0.25">
      <c r="A5" s="15" t="s">
        <v>42</v>
      </c>
      <c r="C5" s="16">
        <v>711.83200324609163</v>
      </c>
      <c r="E5" s="16">
        <v>160.8539765583148</v>
      </c>
      <c r="G5" s="16">
        <v>38.966807425994041</v>
      </c>
      <c r="I5" s="16">
        <v>28.290218906380801</v>
      </c>
      <c r="K5" s="16">
        <v>1.2166443761330989</v>
      </c>
      <c r="M5" s="16">
        <v>6.9177922333634454</v>
      </c>
      <c r="O5" s="16">
        <v>5.2566551359708136</v>
      </c>
      <c r="Q5" s="16">
        <v>0.3595150604520484</v>
      </c>
      <c r="S5" s="16">
        <v>1.347656367903336</v>
      </c>
      <c r="U5" s="16">
        <v>2.9360345790352889</v>
      </c>
      <c r="W5" s="16">
        <v>4.7078939401237734E-3</v>
      </c>
    </row>
    <row r="6" spans="1:24" x14ac:dyDescent="0.25">
      <c r="A6" t="s">
        <v>67</v>
      </c>
      <c r="B6" t="s">
        <v>68</v>
      </c>
      <c r="C6" s="16">
        <v>9600</v>
      </c>
      <c r="D6" s="16">
        <v>632.91396199179349</v>
      </c>
      <c r="E6" s="16">
        <v>6600</v>
      </c>
      <c r="F6" s="16">
        <v>165.13798119636141</v>
      </c>
      <c r="G6" s="16">
        <v>26760</v>
      </c>
      <c r="H6" s="16">
        <v>493.82174579015032</v>
      </c>
      <c r="I6" s="16">
        <v>50450</v>
      </c>
      <c r="J6" s="16">
        <v>564.65387726319182</v>
      </c>
      <c r="K6" s="16">
        <v>1.988</v>
      </c>
      <c r="L6" s="16">
        <v>0.80014644499116772</v>
      </c>
      <c r="M6" s="16">
        <v>246.3</v>
      </c>
      <c r="N6" s="16">
        <v>9.2938701429847015</v>
      </c>
      <c r="O6" s="16">
        <v>367.5</v>
      </c>
      <c r="P6" s="16">
        <v>6.8410117839398188</v>
      </c>
      <c r="Q6" s="16">
        <v>1.5820000000000001</v>
      </c>
      <c r="R6" s="16">
        <v>0.38343185704852428</v>
      </c>
      <c r="S6" s="16">
        <v>4.7</v>
      </c>
      <c r="T6" s="16">
        <v>1.440318490949797</v>
      </c>
      <c r="U6" s="16">
        <v>30.94</v>
      </c>
      <c r="V6" s="16">
        <v>3.234778931207325</v>
      </c>
      <c r="W6" s="16">
        <v>5.4300000000000001E-2</v>
      </c>
      <c r="X6" s="16">
        <v>6.7111022268776764E-3</v>
      </c>
    </row>
    <row r="7" spans="1:24" x14ac:dyDescent="0.25">
      <c r="A7" t="s">
        <v>69</v>
      </c>
      <c r="B7" t="s">
        <v>70</v>
      </c>
      <c r="C7" s="16">
        <v>1962.607700843256</v>
      </c>
      <c r="D7" s="16">
        <v>298.60233369373958</v>
      </c>
      <c r="E7" s="16">
        <v>1749.85525328415</v>
      </c>
      <c r="F7" s="16">
        <v>77.170149825617273</v>
      </c>
      <c r="G7" s="16">
        <v>8326.0958840730927</v>
      </c>
      <c r="H7" s="16">
        <v>158.9470344965477</v>
      </c>
      <c r="I7" s="16">
        <v>2672.9303604483462</v>
      </c>
      <c r="J7" s="16">
        <v>39.54839160906397</v>
      </c>
      <c r="K7" s="16">
        <v>8.9332092954039197</v>
      </c>
      <c r="L7" s="16">
        <v>2.6529597781050098</v>
      </c>
      <c r="M7" s="16">
        <v>420.74856265593297</v>
      </c>
      <c r="N7" s="16">
        <v>15.13269234637106</v>
      </c>
      <c r="O7" s="16">
        <v>5655.8146034663678</v>
      </c>
      <c r="P7" s="16">
        <v>88.660077148753203</v>
      </c>
      <c r="Q7" s="16">
        <v>2.0096887951091711</v>
      </c>
      <c r="R7" s="16">
        <v>0.45401561204607249</v>
      </c>
      <c r="S7" s="16">
        <v>6.1930289797538718</v>
      </c>
      <c r="T7" s="16">
        <v>1.745050995538302</v>
      </c>
      <c r="U7" s="16">
        <v>30.166619521195859</v>
      </c>
      <c r="V7" s="16">
        <v>3.227128690781726</v>
      </c>
      <c r="W7" s="16">
        <v>5.8907323447679988E-2</v>
      </c>
      <c r="X7" s="16">
        <v>6.9116800879966134E-3</v>
      </c>
    </row>
    <row r="8" spans="1:24" x14ac:dyDescent="0.25">
      <c r="A8" t="s">
        <v>71</v>
      </c>
      <c r="B8" t="s">
        <v>72</v>
      </c>
      <c r="C8" s="16">
        <v>1890.409568681599</v>
      </c>
      <c r="D8" s="16">
        <v>291.26502089965089</v>
      </c>
      <c r="E8" s="16">
        <v>2580.5194644645262</v>
      </c>
      <c r="F8" s="16">
        <v>90.515915466260424</v>
      </c>
      <c r="G8" s="16">
        <v>7523.7994965311391</v>
      </c>
      <c r="H8" s="16">
        <v>144.3130635248811</v>
      </c>
      <c r="I8" s="16">
        <v>2601.4873193029248</v>
      </c>
      <c r="J8" s="16">
        <v>38.551107052601367</v>
      </c>
      <c r="K8" s="16">
        <v>31.849319560582511</v>
      </c>
      <c r="L8" s="16">
        <v>9.1100746323776089</v>
      </c>
      <c r="M8" s="16">
        <v>152.14016909458601</v>
      </c>
      <c r="N8" s="16">
        <v>6.7087450751318638</v>
      </c>
      <c r="O8" s="16">
        <v>5439.4237937249927</v>
      </c>
      <c r="P8" s="16">
        <v>85.274985453780602</v>
      </c>
      <c r="Q8" s="16">
        <v>4.1220804312766566</v>
      </c>
      <c r="R8" s="16">
        <v>0.76813295079174537</v>
      </c>
      <c r="S8" s="16">
        <v>2.7264145578618142</v>
      </c>
      <c r="T8" s="16">
        <v>1.22159437781527</v>
      </c>
      <c r="U8" s="16">
        <v>59.920236022797731</v>
      </c>
      <c r="V8" s="16">
        <v>5.0548297474036286</v>
      </c>
      <c r="W8" s="16">
        <v>6.771915806951416E-2</v>
      </c>
      <c r="X8" s="16">
        <v>7.410021646296997E-3</v>
      </c>
    </row>
    <row r="9" spans="1:24" x14ac:dyDescent="0.25">
      <c r="A9" t="s">
        <v>73</v>
      </c>
      <c r="B9" t="s">
        <v>74</v>
      </c>
      <c r="C9" s="16">
        <v>1996.2983679821659</v>
      </c>
      <c r="D9" s="16">
        <v>310.81156396695502</v>
      </c>
      <c r="E9" s="16">
        <v>2359.1043841578189</v>
      </c>
      <c r="F9" s="16">
        <v>90.078125855430102</v>
      </c>
      <c r="G9" s="16">
        <v>11093.95493050386</v>
      </c>
      <c r="H9" s="16">
        <v>209.63224374000481</v>
      </c>
      <c r="I9" s="16">
        <v>2938.218178628802</v>
      </c>
      <c r="J9" s="16">
        <v>43.212118706477618</v>
      </c>
      <c r="K9" s="16">
        <v>6.0418732899793426</v>
      </c>
      <c r="L9" s="16">
        <v>1.88951289831758</v>
      </c>
      <c r="M9" s="16">
        <v>154.38963412775149</v>
      </c>
      <c r="N9" s="16">
        <v>7.0369368965037964</v>
      </c>
      <c r="O9" s="16">
        <v>5839.8546998065531</v>
      </c>
      <c r="P9" s="16">
        <v>91.575458992490482</v>
      </c>
      <c r="Q9" s="16">
        <v>1.9924875549471059</v>
      </c>
      <c r="R9" s="16">
        <v>0.47704942652855381</v>
      </c>
      <c r="S9" s="16">
        <v>6.0816428126944624</v>
      </c>
      <c r="T9" s="16">
        <v>1.832908978585307</v>
      </c>
      <c r="U9" s="16">
        <v>27.099691732997609</v>
      </c>
      <c r="V9" s="16">
        <v>3.3309654376540561</v>
      </c>
      <c r="W9" s="16">
        <v>7.7785230192772933E-2</v>
      </c>
      <c r="X9" s="16">
        <v>8.7547546779643739E-3</v>
      </c>
    </row>
    <row r="10" spans="1:24" x14ac:dyDescent="0.25">
      <c r="A10" t="s">
        <v>75</v>
      </c>
      <c r="B10" t="s">
        <v>76</v>
      </c>
      <c r="C10" s="16">
        <v>2327.2124426346309</v>
      </c>
      <c r="D10" s="16">
        <v>330.08372290149492</v>
      </c>
      <c r="E10" s="16">
        <v>1958.8502779195601</v>
      </c>
      <c r="F10" s="16">
        <v>84.580218673140578</v>
      </c>
      <c r="G10" s="16">
        <v>12341.660600122361</v>
      </c>
      <c r="H10" s="16">
        <v>232.25298136295081</v>
      </c>
      <c r="I10" s="16">
        <v>2991.650137457515</v>
      </c>
      <c r="J10" s="16">
        <v>43.834795598805208</v>
      </c>
      <c r="K10" s="16">
        <v>24.881488294792579</v>
      </c>
      <c r="L10" s="16">
        <v>7.1399408306734076</v>
      </c>
      <c r="M10" s="16">
        <v>229.38257367343169</v>
      </c>
      <c r="N10" s="16">
        <v>9.1744625900334444</v>
      </c>
      <c r="O10" s="16">
        <v>7493.6865450775804</v>
      </c>
      <c r="P10" s="16">
        <v>117.2684354986046</v>
      </c>
      <c r="Q10" s="16">
        <v>3.7686706437548732</v>
      </c>
      <c r="R10" s="16">
        <v>0.72293547021643279</v>
      </c>
      <c r="S10" s="16">
        <v>5.1652807507477707</v>
      </c>
      <c r="T10" s="16">
        <v>1.601112964352517</v>
      </c>
      <c r="U10" s="16">
        <v>26.030842068818451</v>
      </c>
      <c r="V10" s="16">
        <v>3.1447124209226538</v>
      </c>
      <c r="W10" s="16">
        <v>6.2537385040913718E-2</v>
      </c>
      <c r="X10" s="16">
        <v>7.3534948547861407E-3</v>
      </c>
    </row>
    <row r="11" spans="1:24" x14ac:dyDescent="0.25">
      <c r="A11" t="s">
        <v>77</v>
      </c>
      <c r="B11" t="s">
        <v>78</v>
      </c>
      <c r="C11" s="16">
        <v>2475.6374449933792</v>
      </c>
      <c r="D11" s="16">
        <v>350.14175384288029</v>
      </c>
      <c r="E11" s="16">
        <v>2220.8298780433952</v>
      </c>
      <c r="F11" s="16">
        <v>91.397924236473116</v>
      </c>
      <c r="G11" s="16">
        <v>13589.59326668484</v>
      </c>
      <c r="H11" s="16">
        <v>255.0892125059604</v>
      </c>
      <c r="I11" s="16">
        <v>3168.5429986404188</v>
      </c>
      <c r="J11" s="16">
        <v>45.970177148878342</v>
      </c>
      <c r="K11" s="16">
        <v>19.178969472134199</v>
      </c>
      <c r="L11" s="16">
        <v>5.5326823954144571</v>
      </c>
      <c r="M11" s="16">
        <v>287.37221208242289</v>
      </c>
      <c r="N11" s="16">
        <v>11.08229887997398</v>
      </c>
      <c r="O11" s="16">
        <v>8763.1619509214252</v>
      </c>
      <c r="P11" s="16">
        <v>137.01705480456189</v>
      </c>
      <c r="Q11" s="16">
        <v>3.014832372633907</v>
      </c>
      <c r="R11" s="16">
        <v>0.62463134333160508</v>
      </c>
      <c r="S11" s="16">
        <v>7.1779830218762113</v>
      </c>
      <c r="T11" s="16">
        <v>2.0145951541487941</v>
      </c>
      <c r="U11" s="16">
        <v>37.731017863905848</v>
      </c>
      <c r="V11" s="16">
        <v>3.9570168729351449</v>
      </c>
      <c r="W11" s="16">
        <v>9.9763462678798806E-2</v>
      </c>
      <c r="X11" s="16">
        <v>1.0535410108522219E-2</v>
      </c>
    </row>
    <row r="12" spans="1:24" x14ac:dyDescent="0.25">
      <c r="A12" t="s">
        <v>79</v>
      </c>
      <c r="B12" t="s">
        <v>80</v>
      </c>
      <c r="C12" s="16">
        <v>2107.171977746455</v>
      </c>
      <c r="D12" s="16">
        <v>315.67745442102148</v>
      </c>
      <c r="E12" s="16">
        <v>2780.211632436311</v>
      </c>
      <c r="F12" s="16">
        <v>97.741418936337965</v>
      </c>
      <c r="G12" s="16">
        <v>9278.0466385252985</v>
      </c>
      <c r="H12" s="16">
        <v>176.6131343395939</v>
      </c>
      <c r="I12" s="16">
        <v>2744.9221126626949</v>
      </c>
      <c r="J12" s="16">
        <v>40.845923213383116</v>
      </c>
      <c r="K12" s="16">
        <v>11.803818610456791</v>
      </c>
      <c r="L12" s="16">
        <v>3.4478907409623689</v>
      </c>
      <c r="M12" s="16">
        <v>187.59085371699251</v>
      </c>
      <c r="N12" s="16">
        <v>7.816648232140551</v>
      </c>
      <c r="O12" s="16">
        <v>4616.8289374094329</v>
      </c>
      <c r="P12" s="16">
        <v>72.558034864317833</v>
      </c>
      <c r="Q12" s="16">
        <v>2.0967684601628509</v>
      </c>
      <c r="R12" s="16">
        <v>0.46498085971625602</v>
      </c>
      <c r="S12" s="16">
        <v>4.640969845947569</v>
      </c>
      <c r="T12" s="16">
        <v>1.4915250931859769</v>
      </c>
      <c r="U12" s="16">
        <v>26.606071178372979</v>
      </c>
      <c r="V12" s="16">
        <v>3.0399675857491282</v>
      </c>
      <c r="W12" s="16">
        <v>5.259900153058332E-2</v>
      </c>
      <c r="X12" s="16">
        <v>6.4709520783220913E-3</v>
      </c>
    </row>
    <row r="13" spans="1:24" x14ac:dyDescent="0.25">
      <c r="A13" t="s">
        <v>81</v>
      </c>
      <c r="B13" t="s">
        <v>82</v>
      </c>
      <c r="C13" s="16">
        <v>1973.2962151605329</v>
      </c>
      <c r="D13" s="16">
        <v>314.51662555809071</v>
      </c>
      <c r="E13" s="16">
        <v>2331.8851686269741</v>
      </c>
      <c r="F13" s="16">
        <v>89.578795869633922</v>
      </c>
      <c r="G13" s="16">
        <v>9885.3759136424851</v>
      </c>
      <c r="H13" s="16">
        <v>187.76333598600439</v>
      </c>
      <c r="I13" s="16">
        <v>2390.6474892288361</v>
      </c>
      <c r="J13" s="16">
        <v>37.231752746832633</v>
      </c>
      <c r="K13" s="16">
        <v>43.810241071401563</v>
      </c>
      <c r="L13" s="16">
        <v>12.51667751500697</v>
      </c>
      <c r="M13" s="16">
        <v>255.6840342201327</v>
      </c>
      <c r="N13" s="16">
        <v>10.08825490796128</v>
      </c>
      <c r="O13" s="16">
        <v>11343.696135309079</v>
      </c>
      <c r="P13" s="16">
        <v>177.11942016173131</v>
      </c>
      <c r="Q13" s="16">
        <v>6.7295542326285904</v>
      </c>
      <c r="R13" s="16">
        <v>1.2108673531199621</v>
      </c>
      <c r="S13" s="16">
        <v>8.4162024154450776</v>
      </c>
      <c r="T13" s="16">
        <v>2.2142240866863498</v>
      </c>
      <c r="U13" s="16">
        <v>42.045838372345393</v>
      </c>
      <c r="V13" s="16">
        <v>4.1778111630603751</v>
      </c>
      <c r="W13" s="16">
        <v>8.0866676543993196E-2</v>
      </c>
      <c r="X13" s="16">
        <v>9.1242237889914042E-3</v>
      </c>
    </row>
    <row r="14" spans="1:24" x14ac:dyDescent="0.25">
      <c r="A14" t="s">
        <v>83</v>
      </c>
      <c r="B14" t="s">
        <v>84</v>
      </c>
      <c r="C14" s="16">
        <v>2400.0064152302698</v>
      </c>
      <c r="D14" s="16">
        <v>358.59618094280148</v>
      </c>
      <c r="E14" s="16">
        <v>3460.0842924200542</v>
      </c>
      <c r="F14" s="16">
        <v>112.1762511914154</v>
      </c>
      <c r="G14" s="16">
        <v>14079.076741581879</v>
      </c>
      <c r="H14" s="16">
        <v>264.12175961424299</v>
      </c>
      <c r="I14" s="16">
        <v>2432.791184167776</v>
      </c>
      <c r="J14" s="16">
        <v>38.613042817798039</v>
      </c>
      <c r="K14" s="16">
        <v>24.396768914534011</v>
      </c>
      <c r="L14" s="16">
        <v>7.0010367560764308</v>
      </c>
      <c r="M14" s="16">
        <v>223.40071393526961</v>
      </c>
      <c r="N14" s="16">
        <v>8.9836788432891321</v>
      </c>
      <c r="O14" s="16">
        <v>6809.5578347847077</v>
      </c>
      <c r="P14" s="16">
        <v>106.66779787974239</v>
      </c>
      <c r="Q14" s="16">
        <v>3.473477429734571</v>
      </c>
      <c r="R14" s="16">
        <v>0.67493434415230091</v>
      </c>
      <c r="S14" s="16">
        <v>3.843543396840905</v>
      </c>
      <c r="T14" s="16">
        <v>1.4018262649613269</v>
      </c>
      <c r="U14" s="16">
        <v>24.642236183942391</v>
      </c>
      <c r="V14" s="16">
        <v>3.0712839894124189</v>
      </c>
      <c r="W14" s="16">
        <v>6.4383077256660981E-2</v>
      </c>
      <c r="X14" s="16">
        <v>7.4825214301985146E-3</v>
      </c>
    </row>
    <row r="15" spans="1:24" x14ac:dyDescent="0.25">
      <c r="A15" t="s">
        <v>85</v>
      </c>
      <c r="B15" t="s">
        <v>86</v>
      </c>
      <c r="C15" s="16">
        <v>2740.268588200302</v>
      </c>
      <c r="D15" s="16">
        <v>378.213944323058</v>
      </c>
      <c r="E15" s="16">
        <v>2465.2580913450479</v>
      </c>
      <c r="F15" s="16">
        <v>101.24323845713459</v>
      </c>
      <c r="G15" s="16">
        <v>11844.518781861711</v>
      </c>
      <c r="H15" s="16">
        <v>224.4696221761013</v>
      </c>
      <c r="I15" s="16">
        <v>3808.6694394688411</v>
      </c>
      <c r="J15" s="16">
        <v>53.980276844533627</v>
      </c>
      <c r="K15" s="16">
        <v>37.513599628628377</v>
      </c>
      <c r="L15" s="16">
        <v>10.737651252122291</v>
      </c>
      <c r="M15" s="16">
        <v>290.43893384751709</v>
      </c>
      <c r="N15" s="16">
        <v>11.482114730784961</v>
      </c>
      <c r="O15" s="16">
        <v>12917.372944579511</v>
      </c>
      <c r="P15" s="16">
        <v>201.68591305180871</v>
      </c>
      <c r="Q15" s="16">
        <v>5.6432599202279201</v>
      </c>
      <c r="R15" s="16">
        <v>1.0487968290910441</v>
      </c>
      <c r="S15" s="16">
        <v>14.17267547267547</v>
      </c>
      <c r="T15" s="16">
        <v>3.399519884051192</v>
      </c>
      <c r="U15" s="16">
        <v>37.277125802579263</v>
      </c>
      <c r="V15" s="16">
        <v>4.1603185720388822</v>
      </c>
      <c r="W15" s="16">
        <v>0.1090732026143791</v>
      </c>
      <c r="X15" s="16">
        <v>1.159009409941073E-2</v>
      </c>
    </row>
    <row r="16" spans="1:24" x14ac:dyDescent="0.25">
      <c r="A16" t="s">
        <v>87</v>
      </c>
      <c r="B16" t="s">
        <v>88</v>
      </c>
      <c r="C16" s="16">
        <v>1291.6935030037259</v>
      </c>
      <c r="D16" s="16">
        <v>311.99023298692669</v>
      </c>
      <c r="E16" s="16">
        <v>1536.1961085116211</v>
      </c>
      <c r="F16" s="16">
        <v>79.814244120139591</v>
      </c>
      <c r="G16" s="16">
        <v>9460.5847474468028</v>
      </c>
      <c r="H16" s="16">
        <v>180.21872620902349</v>
      </c>
      <c r="I16" s="16">
        <v>2872.595379212994</v>
      </c>
      <c r="J16" s="16">
        <v>42.582799256782828</v>
      </c>
      <c r="K16" s="16">
        <v>39.595648007158353</v>
      </c>
      <c r="L16" s="16">
        <v>11.320850842089479</v>
      </c>
      <c r="M16" s="16">
        <v>290.12191117776001</v>
      </c>
      <c r="N16" s="16">
        <v>11.18843549719953</v>
      </c>
      <c r="O16" s="16">
        <v>12829.372728746721</v>
      </c>
      <c r="P16" s="16">
        <v>200.22696677087981</v>
      </c>
      <c r="Q16" s="16">
        <v>5.5962421526898991</v>
      </c>
      <c r="R16" s="16">
        <v>1.024846405186751</v>
      </c>
      <c r="S16" s="16">
        <v>6.8971312612231186</v>
      </c>
      <c r="T16" s="16">
        <v>1.9429496864888181</v>
      </c>
      <c r="U16" s="16">
        <v>39.929231294506032</v>
      </c>
      <c r="V16" s="16">
        <v>4.0335828729112446</v>
      </c>
      <c r="W16" s="16">
        <v>9.1956080927545994E-2</v>
      </c>
      <c r="X16" s="16">
        <v>9.8637436136645978E-3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4" ht="15.75" x14ac:dyDescent="0.25">
      <c r="A1" s="11" t="s">
        <v>92</v>
      </c>
    </row>
    <row r="3" spans="1:24" x14ac:dyDescent="0.25">
      <c r="C3" s="15" t="s">
        <v>43</v>
      </c>
      <c r="E3" s="15" t="s">
        <v>44</v>
      </c>
      <c r="G3" s="15" t="s">
        <v>45</v>
      </c>
      <c r="I3" s="15" t="s">
        <v>46</v>
      </c>
      <c r="K3" s="15" t="s">
        <v>47</v>
      </c>
      <c r="M3" s="15" t="s">
        <v>48</v>
      </c>
      <c r="O3" s="15" t="s">
        <v>49</v>
      </c>
      <c r="Q3" s="15" t="s">
        <v>50</v>
      </c>
      <c r="S3" s="15" t="s">
        <v>51</v>
      </c>
      <c r="U3" s="15" t="s">
        <v>52</v>
      </c>
      <c r="W3" s="15" t="s">
        <v>53</v>
      </c>
    </row>
    <row r="4" spans="1:24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</row>
    <row r="5" spans="1:24" x14ac:dyDescent="0.25">
      <c r="A5" s="15" t="s">
        <v>42</v>
      </c>
      <c r="C5" s="16">
        <v>440.34521561477158</v>
      </c>
      <c r="E5" s="16">
        <v>131.94290269235091</v>
      </c>
      <c r="G5" s="16">
        <v>69.02994108969304</v>
      </c>
      <c r="I5" s="16">
        <v>53.102823571368781</v>
      </c>
      <c r="K5" s="16">
        <v>35.597085368292397</v>
      </c>
      <c r="M5" s="16">
        <v>0.387610433143811</v>
      </c>
      <c r="O5" s="16">
        <v>10.316501210799601</v>
      </c>
      <c r="Q5" s="16">
        <v>6.1566250595997492</v>
      </c>
      <c r="S5" s="16">
        <v>0.36585977584176133</v>
      </c>
      <c r="U5" s="16">
        <v>2.9945010994019561</v>
      </c>
      <c r="W5" s="16">
        <v>7.5409552598118497</v>
      </c>
    </row>
    <row r="6" spans="1:24" x14ac:dyDescent="0.25">
      <c r="A6" t="s">
        <v>67</v>
      </c>
      <c r="B6" t="s">
        <v>68</v>
      </c>
      <c r="C6" s="16">
        <v>2161</v>
      </c>
      <c r="D6" s="16">
        <v>329.534699376297</v>
      </c>
      <c r="E6" s="16">
        <v>9600</v>
      </c>
      <c r="F6" s="16">
        <v>126.83089419455069</v>
      </c>
      <c r="G6" s="16">
        <v>6600</v>
      </c>
      <c r="H6" s="16">
        <v>80.181964205427789</v>
      </c>
      <c r="I6" s="16">
        <v>26760</v>
      </c>
      <c r="J6" s="16">
        <v>490.03558256472388</v>
      </c>
      <c r="K6" s="16">
        <v>50450</v>
      </c>
      <c r="L6" s="16">
        <v>560.18905527884147</v>
      </c>
      <c r="M6" s="16">
        <v>1.988</v>
      </c>
      <c r="N6" s="16">
        <v>0.26610454425334712</v>
      </c>
      <c r="O6" s="16">
        <v>246.3</v>
      </c>
      <c r="P6" s="16">
        <v>10.637370011090351</v>
      </c>
      <c r="Q6" s="16">
        <v>367.5</v>
      </c>
      <c r="R6" s="16">
        <v>7.0545543229055072</v>
      </c>
      <c r="S6" s="16">
        <v>1.5820000000000001</v>
      </c>
      <c r="T6" s="16">
        <v>0.3910290110252379</v>
      </c>
      <c r="U6" s="16">
        <v>4.7</v>
      </c>
      <c r="V6" s="16">
        <v>3.134794909913396</v>
      </c>
      <c r="W6" s="16">
        <v>30.94</v>
      </c>
      <c r="X6" s="16">
        <v>7.9804061672838484</v>
      </c>
    </row>
    <row r="7" spans="1:24" x14ac:dyDescent="0.25">
      <c r="A7" t="s">
        <v>69</v>
      </c>
      <c r="B7" t="s">
        <v>70</v>
      </c>
      <c r="C7" s="16">
        <v>1289.213233361563</v>
      </c>
      <c r="D7" s="16">
        <v>177.75568234914039</v>
      </c>
      <c r="E7" s="16">
        <v>1277.468948012397</v>
      </c>
      <c r="F7" s="16">
        <v>35.765959152511222</v>
      </c>
      <c r="G7" s="16">
        <v>1272.7259524708561</v>
      </c>
      <c r="H7" s="16">
        <v>27.0318577361117</v>
      </c>
      <c r="I7" s="16">
        <v>4808.2273197554696</v>
      </c>
      <c r="J7" s="16">
        <v>91.252406536807214</v>
      </c>
      <c r="K7" s="16">
        <v>1350.2245196149281</v>
      </c>
      <c r="L7" s="16">
        <v>20.547405354814899</v>
      </c>
      <c r="M7" s="16">
        <v>3.087288128763964</v>
      </c>
      <c r="N7" s="16">
        <v>0.33083822900538368</v>
      </c>
      <c r="O7" s="16">
        <v>82.248588778292714</v>
      </c>
      <c r="P7" s="16">
        <v>4.8863928666263297</v>
      </c>
      <c r="Q7" s="16">
        <v>2270.2606540200691</v>
      </c>
      <c r="R7" s="16">
        <v>36.571109224273243</v>
      </c>
      <c r="S7" s="16">
        <v>0.95214072945553629</v>
      </c>
      <c r="T7" s="16">
        <v>0.25028187431254079</v>
      </c>
      <c r="U7" s="16">
        <v>4.0576198242275989</v>
      </c>
      <c r="V7" s="16">
        <v>2.399270565868012</v>
      </c>
      <c r="W7" s="16">
        <v>17.242051457543159</v>
      </c>
      <c r="X7" s="16">
        <v>4.7588172998854903</v>
      </c>
    </row>
    <row r="8" spans="1:24" x14ac:dyDescent="0.25">
      <c r="A8" t="s">
        <v>71</v>
      </c>
      <c r="B8" t="s">
        <v>72</v>
      </c>
      <c r="C8" s="16">
        <v>931.16070458586273</v>
      </c>
      <c r="D8" s="16">
        <v>145.48694712746769</v>
      </c>
      <c r="E8" s="16">
        <v>1063.9104256137889</v>
      </c>
      <c r="F8" s="16">
        <v>33.624238306420963</v>
      </c>
      <c r="G8" s="16">
        <v>1708.76993138239</v>
      </c>
      <c r="H8" s="16">
        <v>29.77780584411256</v>
      </c>
      <c r="I8" s="16">
        <v>3965.4897379557719</v>
      </c>
      <c r="J8" s="16">
        <v>76.008978060978109</v>
      </c>
      <c r="K8" s="16">
        <v>1475.2194203533461</v>
      </c>
      <c r="L8" s="16">
        <v>21.481336860595711</v>
      </c>
      <c r="M8" s="16">
        <v>4.7831266319320376</v>
      </c>
      <c r="N8" s="16">
        <v>0.48033810472875432</v>
      </c>
      <c r="O8" s="16">
        <v>90.186759029179072</v>
      </c>
      <c r="P8" s="16">
        <v>4.9535261551213861</v>
      </c>
      <c r="Q8" s="16">
        <v>1972.948170256878</v>
      </c>
      <c r="R8" s="16">
        <v>31.82717356929356</v>
      </c>
      <c r="S8" s="16">
        <v>1.335056315198168</v>
      </c>
      <c r="T8" s="16">
        <v>0.29361658804238039</v>
      </c>
      <c r="U8" s="16"/>
      <c r="V8" s="16"/>
      <c r="W8" s="16">
        <v>39.015198684041231</v>
      </c>
      <c r="X8" s="16">
        <v>7.9001006698327441</v>
      </c>
    </row>
    <row r="9" spans="1:24" x14ac:dyDescent="0.25">
      <c r="A9" t="s">
        <v>73</v>
      </c>
      <c r="B9" t="s">
        <v>74</v>
      </c>
      <c r="C9" s="16">
        <v>1162.91995220175</v>
      </c>
      <c r="D9" s="16">
        <v>166.5973885312672</v>
      </c>
      <c r="E9" s="16">
        <v>994.85532780030712</v>
      </c>
      <c r="F9" s="16">
        <v>33.276734173596573</v>
      </c>
      <c r="G9" s="16">
        <v>1394.849992690645</v>
      </c>
      <c r="H9" s="16">
        <v>27.511633135960281</v>
      </c>
      <c r="I9" s="16">
        <v>5693.0857185467321</v>
      </c>
      <c r="J9" s="16">
        <v>106.9903493698824</v>
      </c>
      <c r="K9" s="16">
        <v>1429.113938962754</v>
      </c>
      <c r="L9" s="16">
        <v>21.236426531102438</v>
      </c>
      <c r="M9" s="16">
        <v>1.6928261678687491</v>
      </c>
      <c r="N9" s="16">
        <v>0.21422193514192181</v>
      </c>
      <c r="O9" s="16">
        <v>79.536727352559708</v>
      </c>
      <c r="P9" s="16">
        <v>4.7172321845910483</v>
      </c>
      <c r="Q9" s="16">
        <v>1700.483722535567</v>
      </c>
      <c r="R9" s="16">
        <v>27.524796775439011</v>
      </c>
      <c r="S9" s="16">
        <v>0.64838194779308034</v>
      </c>
      <c r="T9" s="16">
        <v>0.21739095670815059</v>
      </c>
      <c r="U9" s="16"/>
      <c r="V9" s="16"/>
      <c r="W9" s="16">
        <v>14.80030736922421</v>
      </c>
      <c r="X9" s="16">
        <v>4.5218592893856568</v>
      </c>
    </row>
    <row r="10" spans="1:24" x14ac:dyDescent="0.25">
      <c r="A10" t="s">
        <v>75</v>
      </c>
      <c r="B10" t="s">
        <v>76</v>
      </c>
      <c r="C10" s="16">
        <v>998.99592206177226</v>
      </c>
      <c r="D10" s="16">
        <v>163.60680019965349</v>
      </c>
      <c r="E10" s="16">
        <v>1593.0384520690691</v>
      </c>
      <c r="F10" s="16">
        <v>41.383241906573922</v>
      </c>
      <c r="G10" s="16">
        <v>1369.6407413670211</v>
      </c>
      <c r="H10" s="16">
        <v>29.09461292958127</v>
      </c>
      <c r="I10" s="16">
        <v>7491.2177628860327</v>
      </c>
      <c r="J10" s="16">
        <v>139.7745875728682</v>
      </c>
      <c r="K10" s="16">
        <v>1788.470099190554</v>
      </c>
      <c r="L10" s="16">
        <v>25.680414648630741</v>
      </c>
      <c r="M10" s="16">
        <v>4.8435761606851884</v>
      </c>
      <c r="N10" s="16">
        <v>0.49139723430458998</v>
      </c>
      <c r="O10" s="16">
        <v>130.67376352460181</v>
      </c>
      <c r="P10" s="16">
        <v>6.4243961795381068</v>
      </c>
      <c r="Q10" s="16">
        <v>3348.3858730096849</v>
      </c>
      <c r="R10" s="16">
        <v>53.720773187412703</v>
      </c>
      <c r="S10" s="16">
        <v>1.5387529367853741</v>
      </c>
      <c r="T10" s="16">
        <v>0.33579978207880551</v>
      </c>
      <c r="U10" s="16"/>
      <c r="V10" s="16"/>
      <c r="W10" s="16">
        <v>14.629563407487931</v>
      </c>
      <c r="X10" s="16">
        <v>4.6440674316640491</v>
      </c>
    </row>
    <row r="11" spans="1:24" x14ac:dyDescent="0.25">
      <c r="A11" t="s">
        <v>77</v>
      </c>
      <c r="B11" t="s">
        <v>78</v>
      </c>
      <c r="C11" s="16">
        <v>604.5881316894729</v>
      </c>
      <c r="D11" s="16">
        <v>79.821079468026426</v>
      </c>
      <c r="E11" s="16">
        <v>722.71525066736672</v>
      </c>
      <c r="F11" s="16">
        <v>21.180335161456931</v>
      </c>
      <c r="G11" s="16">
        <v>1153.438267202057</v>
      </c>
      <c r="H11" s="16">
        <v>18.875529231225521</v>
      </c>
      <c r="I11" s="16">
        <v>5533.3787337404756</v>
      </c>
      <c r="J11" s="16">
        <v>103.0521180305426</v>
      </c>
      <c r="K11" s="16">
        <v>1355.3840567715861</v>
      </c>
      <c r="L11" s="16">
        <v>19.15693886630471</v>
      </c>
      <c r="M11" s="16">
        <v>2.6607598720070209</v>
      </c>
      <c r="N11" s="16">
        <v>0.28262822068447307</v>
      </c>
      <c r="O11" s="16">
        <v>110.7226971839788</v>
      </c>
      <c r="P11" s="16">
        <v>5.2567013203702997</v>
      </c>
      <c r="Q11" s="16">
        <v>2728.772043368273</v>
      </c>
      <c r="R11" s="16">
        <v>43.749449933353489</v>
      </c>
      <c r="S11" s="16">
        <v>0.66168199493097013</v>
      </c>
      <c r="T11" s="16">
        <v>0.19985335938695031</v>
      </c>
      <c r="U11" s="16">
        <v>4.6693197833988576</v>
      </c>
      <c r="V11" s="16">
        <v>2.5138818894998098</v>
      </c>
      <c r="W11" s="16">
        <v>12.708456514679529</v>
      </c>
      <c r="X11" s="16">
        <v>3.904770818119303</v>
      </c>
    </row>
    <row r="12" spans="1:24" x14ac:dyDescent="0.25">
      <c r="A12" t="s">
        <v>79</v>
      </c>
      <c r="B12" t="s">
        <v>80</v>
      </c>
      <c r="C12" s="16">
        <v>1554.621793933901</v>
      </c>
      <c r="D12" s="16">
        <v>207.8297356077519</v>
      </c>
      <c r="E12" s="16">
        <v>1405.106214944683</v>
      </c>
      <c r="F12" s="16">
        <v>38.814830574455812</v>
      </c>
      <c r="G12" s="16">
        <v>1896.679318013151</v>
      </c>
      <c r="H12" s="16">
        <v>32.613747106483842</v>
      </c>
      <c r="I12" s="16">
        <v>5965.1506011990286</v>
      </c>
      <c r="J12" s="16">
        <v>112.17325904878081</v>
      </c>
      <c r="K12" s="16">
        <v>1722.932234349264</v>
      </c>
      <c r="L12" s="16">
        <v>24.650678948650469</v>
      </c>
      <c r="M12" s="16">
        <v>4.2033279649774249</v>
      </c>
      <c r="N12" s="16">
        <v>0.43328036538486331</v>
      </c>
      <c r="O12" s="16">
        <v>164.31527788110131</v>
      </c>
      <c r="P12" s="16">
        <v>7.4470636948840241</v>
      </c>
      <c r="Q12" s="16">
        <v>2925.83627864239</v>
      </c>
      <c r="R12" s="16">
        <v>46.996720173181131</v>
      </c>
      <c r="S12" s="16">
        <v>1.3469334860469091</v>
      </c>
      <c r="T12" s="16">
        <v>0.31335612435541571</v>
      </c>
      <c r="U12" s="16">
        <v>4.5618442102758019</v>
      </c>
      <c r="V12" s="16">
        <v>2.689164046880308</v>
      </c>
      <c r="W12" s="16">
        <v>24.863754805525499</v>
      </c>
      <c r="X12" s="16">
        <v>6.0524312134154572</v>
      </c>
    </row>
    <row r="13" spans="1:24" x14ac:dyDescent="0.25">
      <c r="A13" t="s">
        <v>81</v>
      </c>
      <c r="B13" t="s">
        <v>82</v>
      </c>
      <c r="C13" s="16">
        <v>1073.3870592516839</v>
      </c>
      <c r="D13" s="16">
        <v>161.07953917835769</v>
      </c>
      <c r="E13" s="16">
        <v>1079.8497757682931</v>
      </c>
      <c r="F13" s="16">
        <v>34.083761669193237</v>
      </c>
      <c r="G13" s="16">
        <v>1352.766419439726</v>
      </c>
      <c r="H13" s="16">
        <v>26.91472966433431</v>
      </c>
      <c r="I13" s="16">
        <v>5018.6668818932822</v>
      </c>
      <c r="J13" s="16">
        <v>94.757845445361639</v>
      </c>
      <c r="K13" s="16">
        <v>1269.817906026175</v>
      </c>
      <c r="L13" s="16">
        <v>19.383105774089199</v>
      </c>
      <c r="M13" s="16">
        <v>4.6437075055275736</v>
      </c>
      <c r="N13" s="16">
        <v>0.46874487031710887</v>
      </c>
      <c r="O13" s="16">
        <v>131.61567790375369</v>
      </c>
      <c r="P13" s="16">
        <v>6.2560372794908137</v>
      </c>
      <c r="Q13" s="16">
        <v>3157.5712073342479</v>
      </c>
      <c r="R13" s="16">
        <v>50.634246605775751</v>
      </c>
      <c r="S13" s="16">
        <v>1.694331258865561</v>
      </c>
      <c r="T13" s="16">
        <v>0.35590302713451771</v>
      </c>
      <c r="U13" s="16">
        <v>4.7738594460166368</v>
      </c>
      <c r="V13" s="16">
        <v>2.722795788526172</v>
      </c>
      <c r="W13" s="16">
        <v>20.589617956978959</v>
      </c>
      <c r="X13" s="16">
        <v>5.3752315362110128</v>
      </c>
    </row>
    <row r="14" spans="1:24" x14ac:dyDescent="0.25">
      <c r="A14" t="s">
        <v>83</v>
      </c>
      <c r="B14" t="s">
        <v>84</v>
      </c>
      <c r="C14" s="16">
        <v>1899.791884988211</v>
      </c>
      <c r="D14" s="16">
        <v>247.51793450255519</v>
      </c>
      <c r="E14" s="16">
        <v>1507.058231086876</v>
      </c>
      <c r="F14" s="16">
        <v>41.813158621263753</v>
      </c>
      <c r="G14" s="16">
        <v>2049.2427780109952</v>
      </c>
      <c r="H14" s="16">
        <v>34.586382305052318</v>
      </c>
      <c r="I14" s="16">
        <v>9029.5480137905888</v>
      </c>
      <c r="J14" s="16">
        <v>167.4811927408818</v>
      </c>
      <c r="K14" s="16">
        <v>1542.3593368235511</v>
      </c>
      <c r="L14" s="16">
        <v>23.133307341251271</v>
      </c>
      <c r="M14" s="16">
        <v>5.2858899270712252</v>
      </c>
      <c r="N14" s="16">
        <v>0.53206828086589253</v>
      </c>
      <c r="O14" s="16">
        <v>169.90024646986919</v>
      </c>
      <c r="P14" s="16">
        <v>7.6562356999388106</v>
      </c>
      <c r="Q14" s="16">
        <v>4694.9775467606487</v>
      </c>
      <c r="R14" s="16">
        <v>75.110523193222704</v>
      </c>
      <c r="S14" s="16">
        <v>1.9312467148275121</v>
      </c>
      <c r="T14" s="16">
        <v>0.39718146563494933</v>
      </c>
      <c r="U14" s="16">
        <v>12.1224621065174</v>
      </c>
      <c r="V14" s="16">
        <v>5.9442668707767039</v>
      </c>
      <c r="W14" s="16">
        <v>25.514643939986598</v>
      </c>
      <c r="X14" s="16">
        <v>6.1680667673905107</v>
      </c>
    </row>
    <row r="15" spans="1:24" x14ac:dyDescent="0.25">
      <c r="A15" t="s">
        <v>85</v>
      </c>
      <c r="B15" t="s">
        <v>86</v>
      </c>
      <c r="C15" s="16">
        <v>2078.0945772533569</v>
      </c>
      <c r="D15" s="16">
        <v>267.07064655328003</v>
      </c>
      <c r="E15" s="16">
        <v>1668.608338863648</v>
      </c>
      <c r="F15" s="16">
        <v>44.708486402314648</v>
      </c>
      <c r="G15" s="16">
        <v>1610.7431744584619</v>
      </c>
      <c r="H15" s="16">
        <v>32.667968776963647</v>
      </c>
      <c r="I15" s="16">
        <v>7296.8560912291387</v>
      </c>
      <c r="J15" s="16">
        <v>136.77194892821331</v>
      </c>
      <c r="K15" s="16">
        <v>2296.3724961961061</v>
      </c>
      <c r="L15" s="16">
        <v>31.528057609147901</v>
      </c>
      <c r="M15" s="16">
        <v>6.5049835856702467</v>
      </c>
      <c r="N15" s="16">
        <v>0.6502871263815474</v>
      </c>
      <c r="O15" s="16">
        <v>145.0497143467598</v>
      </c>
      <c r="P15" s="16">
        <v>7.2182998955607527</v>
      </c>
      <c r="Q15" s="16">
        <v>4770.3381625657421</v>
      </c>
      <c r="R15" s="16">
        <v>76.357261084374855</v>
      </c>
      <c r="S15" s="16">
        <v>2.2123002257336339</v>
      </c>
      <c r="T15" s="16">
        <v>0.45441531590506029</v>
      </c>
      <c r="U15" s="16">
        <v>5.3806032151442311</v>
      </c>
      <c r="V15" s="16">
        <v>3.126436451092232</v>
      </c>
      <c r="W15" s="16">
        <v>20.489654283978361</v>
      </c>
      <c r="X15" s="16">
        <v>5.8725416181210726</v>
      </c>
    </row>
    <row r="16" spans="1:24" x14ac:dyDescent="0.25">
      <c r="A16" t="s">
        <v>87</v>
      </c>
      <c r="B16" t="s">
        <v>88</v>
      </c>
      <c r="C16" s="16">
        <v>1993.961204194321</v>
      </c>
      <c r="D16" s="16">
        <v>255.15897068822039</v>
      </c>
      <c r="E16" s="16">
        <v>935.59854127037079</v>
      </c>
      <c r="F16" s="16">
        <v>36.134870453953909</v>
      </c>
      <c r="G16" s="16">
        <v>1077.1784827904251</v>
      </c>
      <c r="H16" s="16">
        <v>26.76721455520757</v>
      </c>
      <c r="I16" s="16">
        <v>5330.7614083034096</v>
      </c>
      <c r="J16" s="16">
        <v>101.0405404465512</v>
      </c>
      <c r="K16" s="16">
        <v>1766.427824913349</v>
      </c>
      <c r="L16" s="16">
        <v>25.348112883917139</v>
      </c>
      <c r="M16" s="16">
        <v>7.8717167755536179</v>
      </c>
      <c r="N16" s="16">
        <v>0.77347063567931162</v>
      </c>
      <c r="O16" s="16">
        <v>166.5757416342949</v>
      </c>
      <c r="P16" s="16">
        <v>7.6553826691465314</v>
      </c>
      <c r="Q16" s="16">
        <v>5531.5814581758386</v>
      </c>
      <c r="R16" s="16">
        <v>88.411138139408138</v>
      </c>
      <c r="S16" s="16">
        <v>2.7270513358788051</v>
      </c>
      <c r="T16" s="16">
        <v>0.52532226391342951</v>
      </c>
      <c r="U16" s="16">
        <v>4.5469856365370589</v>
      </c>
      <c r="V16" s="16">
        <v>2.7058069198737278</v>
      </c>
      <c r="W16" s="16">
        <v>25.813922767653839</v>
      </c>
      <c r="X16" s="16">
        <v>6.2984654556393371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6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4" ht="15.75" x14ac:dyDescent="0.25">
      <c r="A1" s="11" t="s">
        <v>93</v>
      </c>
    </row>
    <row r="3" spans="1:24" x14ac:dyDescent="0.25">
      <c r="C3" s="15" t="s">
        <v>43</v>
      </c>
      <c r="E3" s="15" t="s">
        <v>44</v>
      </c>
      <c r="G3" s="15" t="s">
        <v>45</v>
      </c>
      <c r="I3" s="15" t="s">
        <v>46</v>
      </c>
      <c r="K3" s="15" t="s">
        <v>47</v>
      </c>
      <c r="M3" s="15" t="s">
        <v>48</v>
      </c>
      <c r="O3" s="15" t="s">
        <v>49</v>
      </c>
      <c r="Q3" s="15" t="s">
        <v>50</v>
      </c>
      <c r="S3" s="15" t="s">
        <v>51</v>
      </c>
      <c r="U3" s="15" t="s">
        <v>52</v>
      </c>
      <c r="W3" s="15" t="s">
        <v>53</v>
      </c>
    </row>
    <row r="4" spans="1:24" x14ac:dyDescent="0.25">
      <c r="A4" s="15" t="s">
        <v>60</v>
      </c>
      <c r="B4" s="15" t="s">
        <v>61</v>
      </c>
      <c r="C4" s="15" t="s">
        <v>62</v>
      </c>
      <c r="D4" s="15" t="s">
        <v>63</v>
      </c>
      <c r="E4" s="15" t="s">
        <v>62</v>
      </c>
      <c r="F4" s="15" t="s">
        <v>63</v>
      </c>
      <c r="G4" s="15" t="s">
        <v>62</v>
      </c>
      <c r="H4" s="15" t="s">
        <v>63</v>
      </c>
      <c r="I4" s="15" t="s">
        <v>62</v>
      </c>
      <c r="J4" s="15" t="s">
        <v>63</v>
      </c>
      <c r="K4" s="15" t="s">
        <v>62</v>
      </c>
      <c r="L4" s="15" t="s">
        <v>63</v>
      </c>
      <c r="M4" s="15" t="s">
        <v>62</v>
      </c>
      <c r="N4" s="15" t="s">
        <v>63</v>
      </c>
      <c r="O4" s="15" t="s">
        <v>62</v>
      </c>
      <c r="P4" s="15" t="s">
        <v>63</v>
      </c>
      <c r="Q4" s="15" t="s">
        <v>62</v>
      </c>
      <c r="R4" s="15" t="s">
        <v>63</v>
      </c>
      <c r="S4" s="15" t="s">
        <v>62</v>
      </c>
      <c r="T4" s="15" t="s">
        <v>63</v>
      </c>
      <c r="U4" s="15" t="s">
        <v>62</v>
      </c>
      <c r="V4" s="15" t="s">
        <v>63</v>
      </c>
      <c r="W4" s="15" t="s">
        <v>62</v>
      </c>
      <c r="X4" s="15" t="s">
        <v>63</v>
      </c>
    </row>
    <row r="5" spans="1:24" x14ac:dyDescent="0.25">
      <c r="A5" s="15" t="s">
        <v>42</v>
      </c>
      <c r="C5" s="16">
        <v>440.34521561477158</v>
      </c>
      <c r="E5" s="16">
        <v>131.94290269235091</v>
      </c>
      <c r="G5" s="16">
        <v>69.02994108969304</v>
      </c>
      <c r="I5" s="16">
        <v>53.102823571368781</v>
      </c>
      <c r="K5" s="16">
        <v>35.597085368292397</v>
      </c>
      <c r="M5" s="16">
        <v>0.387610433143811</v>
      </c>
      <c r="O5" s="16">
        <v>10.316501210799601</v>
      </c>
      <c r="Q5" s="16">
        <v>6.1566250595997492</v>
      </c>
      <c r="S5" s="16">
        <v>0.36585977584176133</v>
      </c>
      <c r="U5" s="16">
        <v>2.9945010994019561</v>
      </c>
      <c r="W5" s="16">
        <v>7.5409552598118497</v>
      </c>
    </row>
    <row r="6" spans="1:24" x14ac:dyDescent="0.25">
      <c r="A6" t="s">
        <v>67</v>
      </c>
      <c r="B6" t="s">
        <v>68</v>
      </c>
      <c r="C6" s="16">
        <v>2161</v>
      </c>
      <c r="D6" s="16">
        <v>329.534699376297</v>
      </c>
      <c r="E6" s="16">
        <v>9600</v>
      </c>
      <c r="F6" s="16">
        <v>126.83089419455069</v>
      </c>
      <c r="G6" s="16">
        <v>6600</v>
      </c>
      <c r="H6" s="16">
        <v>80.181964205427789</v>
      </c>
      <c r="I6" s="16">
        <v>26760</v>
      </c>
      <c r="J6" s="16">
        <v>490.03558256472388</v>
      </c>
      <c r="K6" s="16">
        <v>50450</v>
      </c>
      <c r="L6" s="16">
        <v>560.18905527884147</v>
      </c>
      <c r="M6" s="16">
        <v>1.988</v>
      </c>
      <c r="N6" s="16">
        <v>0.26610454425334712</v>
      </c>
      <c r="O6" s="16">
        <v>246.3</v>
      </c>
      <c r="P6" s="16">
        <v>10.637370011090351</v>
      </c>
      <c r="Q6" s="16">
        <v>367.5</v>
      </c>
      <c r="R6" s="16">
        <v>7.0545543229055072</v>
      </c>
      <c r="S6" s="16">
        <v>1.5820000000000001</v>
      </c>
      <c r="T6" s="16">
        <v>0.3910290110252379</v>
      </c>
      <c r="U6" s="16">
        <v>4.7</v>
      </c>
      <c r="V6" s="16">
        <v>3.134794909913396</v>
      </c>
      <c r="W6" s="16">
        <v>30.94</v>
      </c>
      <c r="X6" s="16">
        <v>7.9804061672838467</v>
      </c>
    </row>
    <row r="7" spans="1:24" x14ac:dyDescent="0.25">
      <c r="A7" t="s">
        <v>69</v>
      </c>
      <c r="B7" t="s">
        <v>70</v>
      </c>
      <c r="C7" s="16">
        <v>1289.213233361563</v>
      </c>
      <c r="D7" s="16">
        <v>177.75568234914039</v>
      </c>
      <c r="E7" s="16">
        <v>1277.468948012397</v>
      </c>
      <c r="F7" s="16">
        <v>35.765959152511222</v>
      </c>
      <c r="G7" s="16">
        <v>1272.7259524708561</v>
      </c>
      <c r="H7" s="16">
        <v>27.0318577361117</v>
      </c>
      <c r="I7" s="16">
        <v>4808.2273197554696</v>
      </c>
      <c r="J7" s="16">
        <v>91.252406536807214</v>
      </c>
      <c r="K7" s="16">
        <v>1350.2245196149281</v>
      </c>
      <c r="L7" s="16">
        <v>20.547405354814899</v>
      </c>
      <c r="M7" s="16">
        <v>3.087288128763964</v>
      </c>
      <c r="N7" s="16">
        <v>0.33083822900538368</v>
      </c>
      <c r="O7" s="16">
        <v>82.248588778292714</v>
      </c>
      <c r="P7" s="16">
        <v>4.8863928666263297</v>
      </c>
      <c r="Q7" s="16">
        <v>2270.2606540200691</v>
      </c>
      <c r="R7" s="16">
        <v>36.571109224273243</v>
      </c>
      <c r="S7" s="16">
        <v>0.95214072945553629</v>
      </c>
      <c r="T7" s="16">
        <v>0.25028187431254079</v>
      </c>
      <c r="U7" s="16">
        <v>4.0576198242275989</v>
      </c>
      <c r="V7" s="16">
        <v>2.399270565868012</v>
      </c>
      <c r="W7" s="16">
        <v>17.242051457543159</v>
      </c>
      <c r="X7" s="16">
        <v>4.7588172998854903</v>
      </c>
    </row>
    <row r="8" spans="1:24" x14ac:dyDescent="0.25">
      <c r="A8" t="s">
        <v>71</v>
      </c>
      <c r="B8" t="s">
        <v>72</v>
      </c>
      <c r="C8" s="16">
        <v>931.16070458586273</v>
      </c>
      <c r="D8" s="16">
        <v>145.48694712746769</v>
      </c>
      <c r="E8" s="16">
        <v>1063.9104256137889</v>
      </c>
      <c r="F8" s="16">
        <v>33.624238306420963</v>
      </c>
      <c r="G8" s="16">
        <v>1708.76993138239</v>
      </c>
      <c r="H8" s="16">
        <v>29.77780584411256</v>
      </c>
      <c r="I8" s="16">
        <v>3965.4897379557719</v>
      </c>
      <c r="J8" s="16">
        <v>76.008978060978109</v>
      </c>
      <c r="K8" s="16">
        <v>1475.2194203533461</v>
      </c>
      <c r="L8" s="16">
        <v>21.481336860595711</v>
      </c>
      <c r="M8" s="16">
        <v>4.7831266319320376</v>
      </c>
      <c r="N8" s="16">
        <v>0.48033810472875432</v>
      </c>
      <c r="O8" s="16">
        <v>90.186759029179072</v>
      </c>
      <c r="P8" s="16">
        <v>4.9535261551213861</v>
      </c>
      <c r="Q8" s="16">
        <v>1972.948170256878</v>
      </c>
      <c r="R8" s="16">
        <v>31.82717356929356</v>
      </c>
      <c r="S8" s="16">
        <v>1.335056315198168</v>
      </c>
      <c r="T8" s="16">
        <v>0.29361658804238039</v>
      </c>
      <c r="U8" s="16"/>
      <c r="V8" s="16"/>
      <c r="W8" s="16">
        <v>39.015198684041231</v>
      </c>
      <c r="X8" s="16">
        <v>7.9001006698327449</v>
      </c>
    </row>
    <row r="9" spans="1:24" x14ac:dyDescent="0.25">
      <c r="A9" t="s">
        <v>73</v>
      </c>
      <c r="B9" t="s">
        <v>74</v>
      </c>
      <c r="C9" s="16">
        <v>1162.91995220175</v>
      </c>
      <c r="D9" s="16">
        <v>166.5973885312672</v>
      </c>
      <c r="E9" s="16">
        <v>994.85532780030712</v>
      </c>
      <c r="F9" s="16">
        <v>33.276734173596573</v>
      </c>
      <c r="G9" s="16">
        <v>1394.849992690645</v>
      </c>
      <c r="H9" s="16">
        <v>27.511633135960281</v>
      </c>
      <c r="I9" s="16">
        <v>5693.0857185467321</v>
      </c>
      <c r="J9" s="16">
        <v>106.9903493698824</v>
      </c>
      <c r="K9" s="16">
        <v>1429.113938962754</v>
      </c>
      <c r="L9" s="16">
        <v>21.236426531102438</v>
      </c>
      <c r="M9" s="16">
        <v>1.6928261678687491</v>
      </c>
      <c r="N9" s="16">
        <v>0.21422193514192181</v>
      </c>
      <c r="O9" s="16">
        <v>79.536727352559708</v>
      </c>
      <c r="P9" s="16">
        <v>4.7172321845910483</v>
      </c>
      <c r="Q9" s="16">
        <v>1700.483722535567</v>
      </c>
      <c r="R9" s="16">
        <v>27.524796775439011</v>
      </c>
      <c r="S9" s="16">
        <v>0.64838194779308034</v>
      </c>
      <c r="T9" s="16">
        <v>0.21739095670815059</v>
      </c>
      <c r="U9" s="16"/>
      <c r="V9" s="16"/>
      <c r="W9" s="16">
        <v>14.80030736922421</v>
      </c>
      <c r="X9" s="16">
        <v>4.5218592893856568</v>
      </c>
    </row>
    <row r="10" spans="1:24" x14ac:dyDescent="0.25">
      <c r="A10" t="s">
        <v>75</v>
      </c>
      <c r="B10" t="s">
        <v>76</v>
      </c>
      <c r="C10" s="16">
        <v>998.99592206177226</v>
      </c>
      <c r="D10" s="16">
        <v>163.60680019965349</v>
      </c>
      <c r="E10" s="16">
        <v>1593.0384520690691</v>
      </c>
      <c r="F10" s="16">
        <v>41.383241906573922</v>
      </c>
      <c r="G10" s="16">
        <v>1369.6407413670211</v>
      </c>
      <c r="H10" s="16">
        <v>29.09461292958127</v>
      </c>
      <c r="I10" s="16">
        <v>7491.2177628860327</v>
      </c>
      <c r="J10" s="16">
        <v>139.7745875728682</v>
      </c>
      <c r="K10" s="16">
        <v>1788.470099190554</v>
      </c>
      <c r="L10" s="16">
        <v>25.680414648630741</v>
      </c>
      <c r="M10" s="16">
        <v>4.8435761606851884</v>
      </c>
      <c r="N10" s="16">
        <v>0.49139723430458998</v>
      </c>
      <c r="O10" s="16">
        <v>130.67376352460181</v>
      </c>
      <c r="P10" s="16">
        <v>6.4243961795381068</v>
      </c>
      <c r="Q10" s="16">
        <v>3348.3858730096849</v>
      </c>
      <c r="R10" s="16">
        <v>53.720773187412703</v>
      </c>
      <c r="S10" s="16">
        <v>1.5387529367853741</v>
      </c>
      <c r="T10" s="16">
        <v>0.33579978207880551</v>
      </c>
      <c r="U10" s="16"/>
      <c r="V10" s="16"/>
      <c r="W10" s="16">
        <v>14.629563407487931</v>
      </c>
      <c r="X10" s="16">
        <v>4.6440674316640491</v>
      </c>
    </row>
    <row r="11" spans="1:24" x14ac:dyDescent="0.25">
      <c r="A11" t="s">
        <v>77</v>
      </c>
      <c r="B11" t="s">
        <v>78</v>
      </c>
      <c r="C11" s="16">
        <v>604.5881316894729</v>
      </c>
      <c r="D11" s="16">
        <v>79.821079468026426</v>
      </c>
      <c r="E11" s="16">
        <v>722.71525066736672</v>
      </c>
      <c r="F11" s="16">
        <v>21.180335161456931</v>
      </c>
      <c r="G11" s="16">
        <v>1153.438267202057</v>
      </c>
      <c r="H11" s="16">
        <v>18.875529231225521</v>
      </c>
      <c r="I11" s="16">
        <v>5533.3787337404756</v>
      </c>
      <c r="J11" s="16">
        <v>103.0521180305426</v>
      </c>
      <c r="K11" s="16">
        <v>1355.3840567715861</v>
      </c>
      <c r="L11" s="16">
        <v>19.15693886630471</v>
      </c>
      <c r="M11" s="16">
        <v>2.6607598720070209</v>
      </c>
      <c r="N11" s="16">
        <v>0.28262822068447307</v>
      </c>
      <c r="O11" s="16">
        <v>110.7226971839788</v>
      </c>
      <c r="P11" s="16">
        <v>5.2567013203702997</v>
      </c>
      <c r="Q11" s="16">
        <v>2728.772043368273</v>
      </c>
      <c r="R11" s="16">
        <v>43.749449933353489</v>
      </c>
      <c r="S11" s="16">
        <v>0.66168199493097013</v>
      </c>
      <c r="T11" s="16">
        <v>0.19985335938695031</v>
      </c>
      <c r="U11" s="16">
        <v>4.6693197833988576</v>
      </c>
      <c r="V11" s="16">
        <v>2.5138818894998098</v>
      </c>
      <c r="W11" s="16">
        <v>12.708456514679529</v>
      </c>
      <c r="X11" s="16">
        <v>3.904770818119303</v>
      </c>
    </row>
    <row r="12" spans="1:24" x14ac:dyDescent="0.25">
      <c r="A12" t="s">
        <v>79</v>
      </c>
      <c r="B12" t="s">
        <v>80</v>
      </c>
      <c r="C12" s="16">
        <v>1554.621793933901</v>
      </c>
      <c r="D12" s="16">
        <v>207.8297356077519</v>
      </c>
      <c r="E12" s="16">
        <v>1405.106214944683</v>
      </c>
      <c r="F12" s="16">
        <v>38.814830574455812</v>
      </c>
      <c r="G12" s="16">
        <v>1896.679318013151</v>
      </c>
      <c r="H12" s="16">
        <v>32.613747106483842</v>
      </c>
      <c r="I12" s="16">
        <v>5965.1506011990286</v>
      </c>
      <c r="J12" s="16">
        <v>112.17325904878081</v>
      </c>
      <c r="K12" s="16">
        <v>1722.932234349264</v>
      </c>
      <c r="L12" s="16">
        <v>24.650678948650469</v>
      </c>
      <c r="M12" s="16">
        <v>4.2033279649774249</v>
      </c>
      <c r="N12" s="16">
        <v>0.43328036538486331</v>
      </c>
      <c r="O12" s="16">
        <v>164.31527788110131</v>
      </c>
      <c r="P12" s="16">
        <v>7.4470636948840241</v>
      </c>
      <c r="Q12" s="16">
        <v>2925.83627864239</v>
      </c>
      <c r="R12" s="16">
        <v>46.996720173181131</v>
      </c>
      <c r="S12" s="16">
        <v>1.3469334860469091</v>
      </c>
      <c r="T12" s="16">
        <v>0.31335612435541571</v>
      </c>
      <c r="U12" s="16">
        <v>4.5618442102758019</v>
      </c>
      <c r="V12" s="16">
        <v>2.689164046880308</v>
      </c>
      <c r="W12" s="16">
        <v>24.863754805525499</v>
      </c>
      <c r="X12" s="16">
        <v>6.0524312134154572</v>
      </c>
    </row>
    <row r="13" spans="1:24" x14ac:dyDescent="0.25">
      <c r="A13" t="s">
        <v>81</v>
      </c>
      <c r="B13" t="s">
        <v>82</v>
      </c>
      <c r="C13" s="16">
        <v>1073.3870592516839</v>
      </c>
      <c r="D13" s="16">
        <v>161.07953917835769</v>
      </c>
      <c r="E13" s="16">
        <v>1079.8497757682931</v>
      </c>
      <c r="F13" s="16">
        <v>34.083761669193237</v>
      </c>
      <c r="G13" s="16">
        <v>1352.766419439726</v>
      </c>
      <c r="H13" s="16">
        <v>26.91472966433431</v>
      </c>
      <c r="I13" s="16">
        <v>5018.6668818932822</v>
      </c>
      <c r="J13" s="16">
        <v>94.757845445361639</v>
      </c>
      <c r="K13" s="16">
        <v>1269.817906026175</v>
      </c>
      <c r="L13" s="16">
        <v>19.383105774089199</v>
      </c>
      <c r="M13" s="16">
        <v>4.6437075055275736</v>
      </c>
      <c r="N13" s="16">
        <v>0.46874487031710887</v>
      </c>
      <c r="O13" s="16">
        <v>131.61567790375369</v>
      </c>
      <c r="P13" s="16">
        <v>6.2560372794908137</v>
      </c>
      <c r="Q13" s="16">
        <v>3157.5712073342479</v>
      </c>
      <c r="R13" s="16">
        <v>50.634246605775751</v>
      </c>
      <c r="S13" s="16">
        <v>1.694331258865561</v>
      </c>
      <c r="T13" s="16">
        <v>0.35590302713451771</v>
      </c>
      <c r="U13" s="16">
        <v>4.7738594460166368</v>
      </c>
      <c r="V13" s="16">
        <v>2.722795788526172</v>
      </c>
      <c r="W13" s="16">
        <v>20.589617956978959</v>
      </c>
      <c r="X13" s="16">
        <v>5.3752315362110128</v>
      </c>
    </row>
    <row r="14" spans="1:24" x14ac:dyDescent="0.25">
      <c r="A14" t="s">
        <v>83</v>
      </c>
      <c r="B14" t="s">
        <v>84</v>
      </c>
      <c r="C14" s="16">
        <v>1899.791884988211</v>
      </c>
      <c r="D14" s="16">
        <v>247.51793450255519</v>
      </c>
      <c r="E14" s="16">
        <v>1507.058231086876</v>
      </c>
      <c r="F14" s="16">
        <v>41.813158621263753</v>
      </c>
      <c r="G14" s="16">
        <v>2049.2427780109952</v>
      </c>
      <c r="H14" s="16">
        <v>34.586382305052318</v>
      </c>
      <c r="I14" s="16">
        <v>9029.5480137905888</v>
      </c>
      <c r="J14" s="16">
        <v>167.4811927408818</v>
      </c>
      <c r="K14" s="16">
        <v>1542.3593368235511</v>
      </c>
      <c r="L14" s="16">
        <v>23.133307341251271</v>
      </c>
      <c r="M14" s="16">
        <v>5.2858899270712252</v>
      </c>
      <c r="N14" s="16">
        <v>0.53206828086589253</v>
      </c>
      <c r="O14" s="16">
        <v>169.90024646986919</v>
      </c>
      <c r="P14" s="16">
        <v>7.6562356999388106</v>
      </c>
      <c r="Q14" s="16">
        <v>4694.9775467606487</v>
      </c>
      <c r="R14" s="16">
        <v>75.110523193222704</v>
      </c>
      <c r="S14" s="16">
        <v>1.9312467148275121</v>
      </c>
      <c r="T14" s="16">
        <v>0.39718146563494933</v>
      </c>
      <c r="U14" s="16">
        <v>12.1224621065174</v>
      </c>
      <c r="V14" s="16">
        <v>5.9442668707767039</v>
      </c>
      <c r="W14" s="16">
        <v>25.514643939986598</v>
      </c>
      <c r="X14" s="16">
        <v>6.1680667673905107</v>
      </c>
    </row>
    <row r="15" spans="1:24" x14ac:dyDescent="0.25">
      <c r="A15" t="s">
        <v>85</v>
      </c>
      <c r="B15" t="s">
        <v>86</v>
      </c>
      <c r="C15" s="16">
        <v>2078.0945772533569</v>
      </c>
      <c r="D15" s="16">
        <v>267.07064655328003</v>
      </c>
      <c r="E15" s="16">
        <v>1668.608338863648</v>
      </c>
      <c r="F15" s="16">
        <v>44.708486402314648</v>
      </c>
      <c r="G15" s="16">
        <v>1610.7431744584619</v>
      </c>
      <c r="H15" s="16">
        <v>32.667968776963647</v>
      </c>
      <c r="I15" s="16">
        <v>7296.8560912291387</v>
      </c>
      <c r="J15" s="16">
        <v>136.77194892821331</v>
      </c>
      <c r="K15" s="16">
        <v>2296.3724961961061</v>
      </c>
      <c r="L15" s="16">
        <v>31.528057609147901</v>
      </c>
      <c r="M15" s="16">
        <v>6.5049835856702467</v>
      </c>
      <c r="N15" s="16">
        <v>0.6502871263815474</v>
      </c>
      <c r="O15" s="16">
        <v>145.0497143467598</v>
      </c>
      <c r="P15" s="16">
        <v>7.2182998955607527</v>
      </c>
      <c r="Q15" s="16">
        <v>4770.3381625657421</v>
      </c>
      <c r="R15" s="16">
        <v>76.357261084374855</v>
      </c>
      <c r="S15" s="16">
        <v>2.2123002257336339</v>
      </c>
      <c r="T15" s="16">
        <v>0.45441531590506029</v>
      </c>
      <c r="U15" s="16">
        <v>5.3806032151442311</v>
      </c>
      <c r="V15" s="16">
        <v>3.126436451092232</v>
      </c>
      <c r="W15" s="16">
        <v>20.489654283978361</v>
      </c>
      <c r="X15" s="16">
        <v>5.8725416181210726</v>
      </c>
    </row>
    <row r="16" spans="1:24" x14ac:dyDescent="0.25">
      <c r="A16" t="s">
        <v>87</v>
      </c>
      <c r="B16" t="s">
        <v>88</v>
      </c>
      <c r="C16" s="16">
        <v>1993.961204194321</v>
      </c>
      <c r="D16" s="16">
        <v>255.15897068822039</v>
      </c>
      <c r="E16" s="16">
        <v>935.59854127037079</v>
      </c>
      <c r="F16" s="16">
        <v>36.134870453953909</v>
      </c>
      <c r="G16" s="16">
        <v>1077.1784827904251</v>
      </c>
      <c r="H16" s="16">
        <v>26.76721455520757</v>
      </c>
      <c r="I16" s="16">
        <v>5330.7614083034096</v>
      </c>
      <c r="J16" s="16">
        <v>101.0405404465512</v>
      </c>
      <c r="K16" s="16">
        <v>1766.427824913349</v>
      </c>
      <c r="L16" s="16">
        <v>25.348112883917139</v>
      </c>
      <c r="M16" s="16">
        <v>7.8717167755536179</v>
      </c>
      <c r="N16" s="16">
        <v>0.77347063567931162</v>
      </c>
      <c r="O16" s="16">
        <v>166.5757416342949</v>
      </c>
      <c r="P16" s="16">
        <v>7.6553826691465314</v>
      </c>
      <c r="Q16" s="16">
        <v>5531.5814581758386</v>
      </c>
      <c r="R16" s="16">
        <v>88.411138139408138</v>
      </c>
      <c r="S16" s="16">
        <v>2.7270513358788051</v>
      </c>
      <c r="T16" s="16">
        <v>0.52532226391342951</v>
      </c>
      <c r="U16" s="16">
        <v>4.5469856365370589</v>
      </c>
      <c r="V16" s="16">
        <v>2.7058069198737278</v>
      </c>
      <c r="W16" s="16">
        <v>25.813922767653839</v>
      </c>
      <c r="X16" s="16">
        <v>6.298465455639338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Notas</vt:lpstr>
      <vt:lpstr>Tabela AgV</vt:lpstr>
      <vt:lpstr>Tabela AuV</vt:lpstr>
      <vt:lpstr>Tabela RhV</vt:lpstr>
      <vt:lpstr>Razões AgV</vt:lpstr>
      <vt:lpstr>Razões AuV</vt:lpstr>
      <vt:lpstr>Razões RhV</vt:lpstr>
      <vt:lpstr>Calc_AgV</vt:lpstr>
      <vt:lpstr>Conv_AgV</vt:lpstr>
      <vt:lpstr>Calc_AuV</vt:lpstr>
      <vt:lpstr>Conv_AuV</vt:lpstr>
      <vt:lpstr>Calc_RhV</vt:lpstr>
      <vt:lpstr>Conv_RhV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Martins</cp:lastModifiedBy>
  <dcterms:created xsi:type="dcterms:W3CDTF">2026-10-22T22:56:42Z</dcterms:created>
  <dcterms:modified xsi:type="dcterms:W3CDTF">2026-10-22T22:56:48Z</dcterms:modified>
</cp:coreProperties>
</file>